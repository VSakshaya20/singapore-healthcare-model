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ink/ink1.xml" ContentType="application/inkml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serenecheng_2025_mitb_smu_edu_sg/Documents/Desktop/IS602 Spreadsheets Modeling for Decision Making/Project/Submission/"/>
    </mc:Choice>
  </mc:AlternateContent>
  <xr:revisionPtr revIDLastSave="1" documentId="8_{4B69C40E-E2C9-4258-B2DF-EE2B796D5869}" xr6:coauthVersionLast="47" xr6:coauthVersionMax="47" xr10:uidLastSave="{8B8344DC-049F-40DD-B54A-2417376E577C}"/>
  <bookViews>
    <workbookView xWindow="-108" yWindow="-108" windowWidth="23256" windowHeight="13896" xr2:uid="{00000000-000D-0000-FFFF-FFFF00000000}"/>
  </bookViews>
  <sheets>
    <sheet name="Overview" sheetId="21" r:id="rId1"/>
    <sheet name="Influence Diagram" sheetId="15" r:id="rId2"/>
    <sheet name="Blackbox" sheetId="19" r:id="rId3"/>
    <sheet name="M1 Population" sheetId="3" r:id="rId4"/>
    <sheet name="M1 Demand Driver" sheetId="2" r:id="rId5"/>
    <sheet name="M2 HAR" sheetId="5" r:id="rId6"/>
    <sheet name="M2 Beds" sheetId="9" r:id="rId7"/>
    <sheet name="M2 BOR &amp; Tradeoff analysis" sheetId="6" r:id="rId8"/>
    <sheet name="M2 Sensitivity Analysis" sheetId="7" r:id="rId9"/>
    <sheet name="M3 Healthcare Budget" sheetId="10" r:id="rId10"/>
    <sheet name="M3 Healthcare Costs" sheetId="12" r:id="rId11"/>
    <sheet name="M3 Sensitivity Analysis" sheetId="13" r:id="rId12"/>
    <sheet name="M4 Household data" sheetId="14" r:id="rId13"/>
    <sheet name="M4 Financing Gap and OOP" sheetId="16" r:id="rId14"/>
    <sheet name="M4 Trade-off Analysis" sheetId="20" r:id="rId15"/>
    <sheet name="M4 Ward OOP Calculator " sheetId="18" r:id="rId16"/>
    <sheet name="Data" sheetId="8" r:id="rId17"/>
  </sheets>
  <definedNames>
    <definedName name="ALOS_Factor_Options">'M2 BOR &amp; Tradeoff analysis'!$N$20:$N$24</definedName>
    <definedName name="Average_ALOS_Options">'M2 BOR &amp; Tradeoff analysis'!$N$8:$N$12</definedName>
    <definedName name="Bed_Expansion_Rate_Options">'M2 BOR &amp; Tradeoff analysis'!$N$3:$N$6</definedName>
    <definedName name="Elderly_Population_Growth_Adjust_Options">'M2 BOR &amp; Tradeoff analysis'!$N$14:$N$18</definedName>
    <definedName name="Govt_Policy_Factor_Options">'M2 BOR &amp; Tradeoff analysis'!$N$26:$N$27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5" l="1"/>
  <c r="F23" i="18"/>
  <c r="B46" i="13"/>
  <c r="B47" i="13"/>
  <c r="B45" i="13"/>
  <c r="B44" i="13"/>
  <c r="B40" i="13"/>
  <c r="B39" i="13"/>
  <c r="B38" i="13"/>
  <c r="B37" i="13"/>
  <c r="B29" i="5"/>
  <c r="B35" i="5" s="1"/>
  <c r="G11" i="16"/>
  <c r="F10" i="16"/>
  <c r="H10" i="16"/>
  <c r="G10" i="16"/>
  <c r="G8" i="16"/>
  <c r="F8" i="16"/>
  <c r="H8" i="16"/>
  <c r="G9" i="16"/>
  <c r="C7" i="18"/>
  <c r="C17" i="18"/>
  <c r="B13" i="16"/>
  <c r="G7" i="16" s="1"/>
  <c r="C5" i="12"/>
  <c r="M5" i="12"/>
  <c r="D5" i="12"/>
  <c r="E5" i="12"/>
  <c r="F5" i="12"/>
  <c r="G5" i="12"/>
  <c r="H5" i="12"/>
  <c r="I5" i="12"/>
  <c r="J5" i="12"/>
  <c r="K5" i="12"/>
  <c r="L5" i="12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L6" i="10"/>
  <c r="C21" i="13"/>
  <c r="B7" i="20"/>
  <c r="N27" i="9"/>
  <c r="K5" i="14"/>
  <c r="L45" i="5"/>
  <c r="M41" i="5"/>
  <c r="L41" i="5"/>
  <c r="B37" i="5"/>
  <c r="C37" i="5"/>
  <c r="D37" i="5"/>
  <c r="E37" i="5"/>
  <c r="F37" i="5"/>
  <c r="G37" i="5"/>
  <c r="H37" i="5"/>
  <c r="I37" i="5"/>
  <c r="J37" i="5"/>
  <c r="K37" i="5"/>
  <c r="L37" i="5"/>
  <c r="L33" i="5"/>
  <c r="K33" i="5"/>
  <c r="J33" i="5"/>
  <c r="I33" i="5"/>
  <c r="H33" i="5"/>
  <c r="G33" i="5"/>
  <c r="F33" i="5"/>
  <c r="E33" i="5"/>
  <c r="D33" i="5"/>
  <c r="C33" i="5"/>
  <c r="O35" i="16"/>
  <c r="O37" i="16"/>
  <c r="B27" i="16"/>
  <c r="K5" i="10"/>
  <c r="K6" i="10" s="1"/>
  <c r="F18" i="18"/>
  <c r="F19" i="18"/>
  <c r="F20" i="18"/>
  <c r="F21" i="18"/>
  <c r="F22" i="18"/>
  <c r="F24" i="18"/>
  <c r="F25" i="18"/>
  <c r="F26" i="18"/>
  <c r="F27" i="18"/>
  <c r="F17" i="18"/>
  <c r="C18" i="18"/>
  <c r="C19" i="18"/>
  <c r="C20" i="18"/>
  <c r="C21" i="18"/>
  <c r="C22" i="18"/>
  <c r="C23" i="18"/>
  <c r="C24" i="18"/>
  <c r="C25" i="18"/>
  <c r="C26" i="18"/>
  <c r="C27" i="18"/>
  <c r="B12" i="18"/>
  <c r="B13" i="18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I37" i="16"/>
  <c r="P33" i="16"/>
  <c r="O33" i="16"/>
  <c r="N33" i="16"/>
  <c r="M33" i="16"/>
  <c r="L33" i="16"/>
  <c r="K33" i="16"/>
  <c r="J33" i="16"/>
  <c r="I33" i="16"/>
  <c r="H33" i="16"/>
  <c r="G33" i="16"/>
  <c r="P37" i="16"/>
  <c r="B6" i="20" s="1"/>
  <c r="N37" i="16"/>
  <c r="M37" i="16"/>
  <c r="L37" i="16"/>
  <c r="K37" i="16"/>
  <c r="J37" i="16"/>
  <c r="H37" i="16"/>
  <c r="G37" i="16"/>
  <c r="G35" i="16"/>
  <c r="H35" i="16"/>
  <c r="I35" i="16"/>
  <c r="J35" i="16"/>
  <c r="K35" i="16"/>
  <c r="L35" i="16"/>
  <c r="M35" i="16"/>
  <c r="N35" i="16"/>
  <c r="P35" i="16"/>
  <c r="B54" i="14"/>
  <c r="B55" i="14"/>
  <c r="B56" i="14"/>
  <c r="B57" i="14"/>
  <c r="B58" i="14"/>
  <c r="B59" i="14"/>
  <c r="B60" i="14"/>
  <c r="B61" i="14"/>
  <c r="B62" i="14"/>
  <c r="B63" i="14"/>
  <c r="C54" i="14"/>
  <c r="D54" i="14"/>
  <c r="E54" i="14"/>
  <c r="C55" i="14"/>
  <c r="D55" i="14"/>
  <c r="E55" i="14"/>
  <c r="C56" i="14"/>
  <c r="D56" i="14"/>
  <c r="E56" i="14"/>
  <c r="C57" i="14"/>
  <c r="D57" i="14"/>
  <c r="E57" i="14"/>
  <c r="C58" i="14"/>
  <c r="D58" i="14"/>
  <c r="E58" i="14"/>
  <c r="C59" i="14"/>
  <c r="D59" i="14"/>
  <c r="E59" i="14"/>
  <c r="C60" i="14"/>
  <c r="D60" i="14"/>
  <c r="E60" i="14"/>
  <c r="C61" i="14"/>
  <c r="D61" i="14"/>
  <c r="E61" i="14"/>
  <c r="C62" i="14"/>
  <c r="D62" i="14"/>
  <c r="E62" i="14"/>
  <c r="C63" i="14"/>
  <c r="D63" i="14"/>
  <c r="E63" i="14"/>
  <c r="C93" i="14"/>
  <c r="C94" i="14"/>
  <c r="C95" i="14"/>
  <c r="C96" i="14"/>
  <c r="C97" i="14"/>
  <c r="C98" i="14"/>
  <c r="C99" i="14"/>
  <c r="C100" i="14"/>
  <c r="C101" i="14"/>
  <c r="C102" i="14"/>
  <c r="F54" i="14"/>
  <c r="F55" i="14"/>
  <c r="F56" i="14"/>
  <c r="F57" i="14"/>
  <c r="F58" i="14"/>
  <c r="F59" i="14"/>
  <c r="F60" i="14"/>
  <c r="F61" i="14"/>
  <c r="C23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K13" i="14"/>
  <c r="J13" i="14" s="1"/>
  <c r="I13" i="14" s="1"/>
  <c r="H13" i="14" s="1"/>
  <c r="G13" i="14" s="1"/>
  <c r="F13" i="14" s="1"/>
  <c r="E13" i="14" s="1"/>
  <c r="D13" i="14" s="1"/>
  <c r="C13" i="14" s="1"/>
  <c r="B13" i="14" s="1"/>
  <c r="K14" i="14"/>
  <c r="J14" i="14" s="1"/>
  <c r="I14" i="14" s="1"/>
  <c r="H14" i="14" s="1"/>
  <c r="G14" i="14" s="1"/>
  <c r="F14" i="14" s="1"/>
  <c r="E14" i="14" s="1"/>
  <c r="D14" i="14" s="1"/>
  <c r="C14" i="14" s="1"/>
  <c r="B14" i="14" s="1"/>
  <c r="K15" i="14"/>
  <c r="J15" i="14" s="1"/>
  <c r="I15" i="14" s="1"/>
  <c r="H15" i="14" s="1"/>
  <c r="G15" i="14" s="1"/>
  <c r="F15" i="14" s="1"/>
  <c r="E15" i="14" s="1"/>
  <c r="D15" i="14" s="1"/>
  <c r="C15" i="14" s="1"/>
  <c r="B15" i="14" s="1"/>
  <c r="K16" i="14"/>
  <c r="J16" i="14" s="1"/>
  <c r="I16" i="14" s="1"/>
  <c r="H16" i="14" s="1"/>
  <c r="G16" i="14" s="1"/>
  <c r="F16" i="14" s="1"/>
  <c r="E16" i="14" s="1"/>
  <c r="D16" i="14" s="1"/>
  <c r="C16" i="14" s="1"/>
  <c r="B16" i="14" s="1"/>
  <c r="K17" i="14"/>
  <c r="J17" i="14" s="1"/>
  <c r="I17" i="14" s="1"/>
  <c r="H17" i="14" s="1"/>
  <c r="G17" i="14" s="1"/>
  <c r="F17" i="14" s="1"/>
  <c r="E17" i="14" s="1"/>
  <c r="D17" i="14" s="1"/>
  <c r="C17" i="14" s="1"/>
  <c r="B17" i="14" s="1"/>
  <c r="K18" i="14"/>
  <c r="J18" i="14" s="1"/>
  <c r="I18" i="14" s="1"/>
  <c r="H18" i="14" s="1"/>
  <c r="G18" i="14" s="1"/>
  <c r="F18" i="14" s="1"/>
  <c r="E18" i="14" s="1"/>
  <c r="D18" i="14" s="1"/>
  <c r="C18" i="14" s="1"/>
  <c r="B18" i="14" s="1"/>
  <c r="K19" i="14"/>
  <c r="J19" i="14" s="1"/>
  <c r="I19" i="14" s="1"/>
  <c r="H19" i="14" s="1"/>
  <c r="G19" i="14" s="1"/>
  <c r="F19" i="14" s="1"/>
  <c r="E19" i="14" s="1"/>
  <c r="D19" i="14" s="1"/>
  <c r="C19" i="14" s="1"/>
  <c r="B19" i="14" s="1"/>
  <c r="K12" i="14"/>
  <c r="J12" i="14" s="1"/>
  <c r="I12" i="14" s="1"/>
  <c r="H12" i="14" s="1"/>
  <c r="G12" i="14" s="1"/>
  <c r="F12" i="14" s="1"/>
  <c r="E12" i="14" s="1"/>
  <c r="D12" i="14" s="1"/>
  <c r="C12" i="14" s="1"/>
  <c r="B12" i="14" s="1"/>
  <c r="K11" i="14"/>
  <c r="J11" i="14" s="1"/>
  <c r="I11" i="14" s="1"/>
  <c r="H11" i="14" s="1"/>
  <c r="G11" i="14" s="1"/>
  <c r="F11" i="14" s="1"/>
  <c r="E11" i="14" s="1"/>
  <c r="D11" i="14" s="1"/>
  <c r="C11" i="14" s="1"/>
  <c r="B11" i="14" s="1"/>
  <c r="J5" i="14"/>
  <c r="I5" i="14" s="1"/>
  <c r="H5" i="14" s="1"/>
  <c r="G5" i="14" s="1"/>
  <c r="F5" i="14" s="1"/>
  <c r="E5" i="14" s="1"/>
  <c r="D5" i="14" s="1"/>
  <c r="C5" i="14" s="1"/>
  <c r="B5" i="14" s="1"/>
  <c r="K6" i="14"/>
  <c r="J6" i="14" s="1"/>
  <c r="I6" i="14" s="1"/>
  <c r="H6" i="14" s="1"/>
  <c r="G6" i="14" s="1"/>
  <c r="F6" i="14" s="1"/>
  <c r="E6" i="14" s="1"/>
  <c r="D6" i="14" s="1"/>
  <c r="C6" i="14" s="1"/>
  <c r="B6" i="14" s="1"/>
  <c r="K7" i="14"/>
  <c r="J7" i="14" s="1"/>
  <c r="I7" i="14" s="1"/>
  <c r="H7" i="14" s="1"/>
  <c r="G7" i="14" s="1"/>
  <c r="F7" i="14" s="1"/>
  <c r="E7" i="14" s="1"/>
  <c r="D7" i="14" s="1"/>
  <c r="C7" i="14" s="1"/>
  <c r="B7" i="14" s="1"/>
  <c r="K8" i="14"/>
  <c r="J8" i="14" s="1"/>
  <c r="I8" i="14" s="1"/>
  <c r="H8" i="14" s="1"/>
  <c r="G8" i="14" s="1"/>
  <c r="F8" i="14" s="1"/>
  <c r="E8" i="14" s="1"/>
  <c r="D8" i="14" s="1"/>
  <c r="C8" i="14" s="1"/>
  <c r="B8" i="14" s="1"/>
  <c r="K9" i="14"/>
  <c r="J9" i="14" s="1"/>
  <c r="I9" i="14" s="1"/>
  <c r="H9" i="14" s="1"/>
  <c r="G9" i="14" s="1"/>
  <c r="F9" i="14" s="1"/>
  <c r="E9" i="14" s="1"/>
  <c r="D9" i="14" s="1"/>
  <c r="C9" i="14" s="1"/>
  <c r="B9" i="14" s="1"/>
  <c r="K10" i="14"/>
  <c r="J10" i="14" s="1"/>
  <c r="I10" i="14" s="1"/>
  <c r="H10" i="14" s="1"/>
  <c r="G10" i="14" s="1"/>
  <c r="F10" i="14" s="1"/>
  <c r="E10" i="14" s="1"/>
  <c r="D10" i="14" s="1"/>
  <c r="C10" i="14" s="1"/>
  <c r="B10" i="14" s="1"/>
  <c r="K4" i="14"/>
  <c r="J4" i="14" s="1"/>
  <c r="I4" i="14" s="1"/>
  <c r="H4" i="14" s="1"/>
  <c r="G4" i="14" s="1"/>
  <c r="F4" i="14" s="1"/>
  <c r="E4" i="14" s="1"/>
  <c r="D4" i="14" s="1"/>
  <c r="C4" i="14" s="1"/>
  <c r="B4" i="14" s="1"/>
  <c r="C22" i="14"/>
  <c r="C21" i="14"/>
  <c r="F4" i="3" a="1"/>
  <c r="F4" i="3"/>
  <c r="C10" i="13"/>
  <c r="G24" i="16"/>
  <c r="B24" i="9"/>
  <c r="B5" i="10"/>
  <c r="C5" i="10"/>
  <c r="D5" i="10"/>
  <c r="E5" i="10"/>
  <c r="F5" i="10"/>
  <c r="G5" i="10"/>
  <c r="H5" i="10"/>
  <c r="I5" i="10"/>
  <c r="J5" i="10"/>
  <c r="M28" i="9"/>
  <c r="M29" i="9" s="1"/>
  <c r="N28" i="9"/>
  <c r="B19" i="6"/>
  <c r="B18" i="6"/>
  <c r="B17" i="6"/>
  <c r="C9" i="7"/>
  <c r="A67" i="6"/>
  <c r="C26" i="9"/>
  <c r="D26" i="9" s="1"/>
  <c r="E26" i="9" s="1"/>
  <c r="F26" i="9" s="1"/>
  <c r="G26" i="9" s="1"/>
  <c r="H26" i="9" s="1"/>
  <c r="I26" i="9" s="1"/>
  <c r="J26" i="9" s="1"/>
  <c r="K26" i="9" s="1"/>
  <c r="L26" i="9" s="1"/>
  <c r="A43" i="6"/>
  <c r="A28" i="6"/>
  <c r="B27" i="6"/>
  <c r="E5" i="6"/>
  <c r="E6" i="6" s="1"/>
  <c r="E7" i="6" s="1"/>
  <c r="E8" i="6" s="1"/>
  <c r="E9" i="6" s="1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M43" i="5"/>
  <c r="M42" i="5"/>
  <c r="C31" i="5"/>
  <c r="F6" i="3" a="1"/>
  <c r="F6" i="3"/>
  <c r="G4" i="3" a="1"/>
  <c r="G4" i="3"/>
  <c r="H4" i="3" a="1"/>
  <c r="H4" i="3"/>
  <c r="I4" i="3" a="1"/>
  <c r="I4" i="3"/>
  <c r="J4" i="3" a="1"/>
  <c r="J4" i="3"/>
  <c r="K4" i="3" a="1"/>
  <c r="K4" i="3"/>
  <c r="L4" i="3" a="1"/>
  <c r="L4" i="3"/>
  <c r="M4" i="3" a="1"/>
  <c r="M4" i="3"/>
  <c r="N4" i="3" a="1"/>
  <c r="N4" i="3"/>
  <c r="O4" i="3" a="1"/>
  <c r="O4" i="3"/>
  <c r="G5" i="3" a="1"/>
  <c r="G5" i="3"/>
  <c r="H5" i="3" a="1"/>
  <c r="H5" i="3"/>
  <c r="I5" i="3" a="1"/>
  <c r="I5" i="3"/>
  <c r="J5" i="3" a="1"/>
  <c r="J5" i="3"/>
  <c r="K5" i="3" a="1"/>
  <c r="K5" i="3"/>
  <c r="L5" i="3" a="1"/>
  <c r="L5" i="3"/>
  <c r="M5" i="3" a="1"/>
  <c r="M5" i="3"/>
  <c r="N5" i="3" a="1"/>
  <c r="N5" i="3"/>
  <c r="O5" i="3" a="1"/>
  <c r="O5" i="3"/>
  <c r="G6" i="3" a="1"/>
  <c r="G6" i="3"/>
  <c r="H6" i="3" a="1"/>
  <c r="H6" i="3"/>
  <c r="I6" i="3" a="1"/>
  <c r="I6" i="3"/>
  <c r="J6" i="3" a="1"/>
  <c r="J6" i="3"/>
  <c r="K6" i="3" a="1"/>
  <c r="K6" i="3"/>
  <c r="L6" i="3" a="1"/>
  <c r="L6" i="3"/>
  <c r="M6" i="3" a="1"/>
  <c r="M6" i="3"/>
  <c r="N6" i="3" a="1"/>
  <c r="N6" i="3"/>
  <c r="O6" i="3" a="1"/>
  <c r="O6" i="3"/>
  <c r="G7" i="3" a="1"/>
  <c r="G7" i="3"/>
  <c r="H7" i="3" a="1"/>
  <c r="H7" i="3"/>
  <c r="I7" i="3" a="1"/>
  <c r="I7" i="3"/>
  <c r="J7" i="3" a="1"/>
  <c r="J7" i="3"/>
  <c r="K7" i="3" a="1"/>
  <c r="K7" i="3"/>
  <c r="L7" i="3" a="1"/>
  <c r="L7" i="3"/>
  <c r="M7" i="3" a="1"/>
  <c r="M7" i="3"/>
  <c r="N7" i="3" a="1"/>
  <c r="N7" i="3"/>
  <c r="O7" i="3" a="1"/>
  <c r="O7" i="3"/>
  <c r="G8" i="3" a="1"/>
  <c r="G8" i="3"/>
  <c r="H8" i="3" a="1"/>
  <c r="H8" i="3"/>
  <c r="I8" i="3" a="1"/>
  <c r="I8" i="3"/>
  <c r="J8" i="3" a="1"/>
  <c r="J8" i="3"/>
  <c r="K8" i="3" a="1"/>
  <c r="K8" i="3"/>
  <c r="L8" i="3" a="1"/>
  <c r="L8" i="3"/>
  <c r="M8" i="3" a="1"/>
  <c r="M8" i="3"/>
  <c r="N8" i="3" a="1"/>
  <c r="N8" i="3"/>
  <c r="O8" i="3" a="1"/>
  <c r="O8" i="3"/>
  <c r="G9" i="3" a="1"/>
  <c r="G9" i="3"/>
  <c r="H9" i="3" a="1"/>
  <c r="H9" i="3"/>
  <c r="I9" i="3" a="1"/>
  <c r="I9" i="3"/>
  <c r="J9" i="3" a="1"/>
  <c r="J9" i="3"/>
  <c r="K9" i="3" a="1"/>
  <c r="K9" i="3"/>
  <c r="L9" i="3" a="1"/>
  <c r="L9" i="3"/>
  <c r="M9" i="3" a="1"/>
  <c r="M9" i="3"/>
  <c r="N9" i="3" a="1"/>
  <c r="N9" i="3"/>
  <c r="O9" i="3" a="1"/>
  <c r="O9" i="3"/>
  <c r="G10" i="3" a="1"/>
  <c r="G10" i="3"/>
  <c r="H10" i="3" a="1"/>
  <c r="H10" i="3"/>
  <c r="I10" i="3" a="1"/>
  <c r="I10" i="3"/>
  <c r="J10" i="3" a="1"/>
  <c r="J10" i="3"/>
  <c r="K10" i="3" a="1"/>
  <c r="K10" i="3"/>
  <c r="L10" i="3" a="1"/>
  <c r="L10" i="3"/>
  <c r="M10" i="3" a="1"/>
  <c r="M10" i="3"/>
  <c r="N10" i="3" a="1"/>
  <c r="N10" i="3"/>
  <c r="O10" i="3" a="1"/>
  <c r="O10" i="3"/>
  <c r="F7" i="3" a="1"/>
  <c r="F7" i="3"/>
  <c r="F8" i="3" a="1"/>
  <c r="F8" i="3"/>
  <c r="F9" i="3" a="1"/>
  <c r="F9" i="3"/>
  <c r="F10" i="3" a="1"/>
  <c r="F10" i="3"/>
  <c r="F5" i="3" a="1"/>
  <c r="F5" i="3"/>
  <c r="B29" i="2"/>
  <c r="B28" i="2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4" i="3"/>
  <c r="C4" i="3" s="1"/>
  <c r="B5" i="3"/>
  <c r="C5" i="3" s="1"/>
  <c r="B3" i="3"/>
  <c r="C3" i="3" s="1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C28" i="2"/>
  <c r="B95" i="3"/>
  <c r="B33" i="2" s="1"/>
  <c r="I95" i="3"/>
  <c r="B40" i="2" s="1"/>
  <c r="H95" i="3"/>
  <c r="B39" i="2" s="1"/>
  <c r="G95" i="3"/>
  <c r="B38" i="2" s="1"/>
  <c r="F95" i="3"/>
  <c r="B37" i="2" s="1"/>
  <c r="E95" i="3"/>
  <c r="B36" i="2" s="1"/>
  <c r="D95" i="3"/>
  <c r="B35" i="2" s="1"/>
  <c r="C95" i="3"/>
  <c r="B34" i="2" s="1"/>
  <c r="M95" i="3"/>
  <c r="B44" i="2" s="1"/>
  <c r="L95" i="3"/>
  <c r="B43" i="2" s="1"/>
  <c r="K95" i="3"/>
  <c r="B42" i="2" s="1"/>
  <c r="J95" i="3"/>
  <c r="B41" i="2" s="1"/>
  <c r="Q95" i="3"/>
  <c r="B48" i="2" s="1"/>
  <c r="P95" i="3"/>
  <c r="B47" i="2" s="1"/>
  <c r="O95" i="3"/>
  <c r="B46" i="2" s="1"/>
  <c r="N95" i="3"/>
  <c r="B45" i="2" s="1"/>
  <c r="U95" i="3"/>
  <c r="B52" i="2" s="1"/>
  <c r="T95" i="3"/>
  <c r="B51" i="2" s="1"/>
  <c r="S95" i="3"/>
  <c r="B50" i="2" s="1"/>
  <c r="R95" i="3"/>
  <c r="B49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P23" i="2" s="1"/>
  <c r="Q23" i="2" s="1"/>
  <c r="V95" i="3"/>
  <c r="B53" i="2" s="1"/>
  <c r="D28" i="5"/>
  <c r="N48" i="9"/>
  <c r="N47" i="9"/>
  <c r="D27" i="5"/>
  <c r="C35" i="5" l="1"/>
  <c r="H6" i="16"/>
  <c r="F6" i="16"/>
  <c r="G6" i="16"/>
  <c r="B34" i="5"/>
  <c r="B38" i="5"/>
  <c r="C6" i="2"/>
  <c r="G4" i="16"/>
  <c r="H4" i="16"/>
  <c r="F4" i="16"/>
  <c r="B12" i="12"/>
  <c r="L38" i="5"/>
  <c r="L39" i="5"/>
  <c r="P22" i="2"/>
  <c r="Q22" i="2" s="1"/>
  <c r="C23" i="2"/>
  <c r="P21" i="2"/>
  <c r="Q21" i="2" s="1"/>
  <c r="C22" i="2"/>
  <c r="D23" i="2" s="1"/>
  <c r="P20" i="2"/>
  <c r="Q20" i="2" s="1"/>
  <c r="C21" i="2"/>
  <c r="D22" i="2" s="1"/>
  <c r="E23" i="2" s="1"/>
  <c r="P19" i="2"/>
  <c r="Q19" i="2" s="1"/>
  <c r="C20" i="2"/>
  <c r="D21" i="2" s="1"/>
  <c r="E22" i="2" s="1"/>
  <c r="F23" i="2" s="1"/>
  <c r="H42" i="6"/>
  <c r="P18" i="2"/>
  <c r="Q18" i="2" s="1"/>
  <c r="C19" i="2"/>
  <c r="D20" i="2" s="1"/>
  <c r="E21" i="2" s="1"/>
  <c r="F22" i="2" s="1"/>
  <c r="G23" i="2" s="1"/>
  <c r="P17" i="2"/>
  <c r="Q17" i="2" s="1"/>
  <c r="C18" i="2"/>
  <c r="D19" i="2" s="1"/>
  <c r="E20" i="2" s="1"/>
  <c r="F21" i="2" s="1"/>
  <c r="G22" i="2" s="1"/>
  <c r="H23" i="2" s="1"/>
  <c r="P16" i="2"/>
  <c r="Q16" i="2" s="1"/>
  <c r="C17" i="2"/>
  <c r="D18" i="2" s="1"/>
  <c r="E19" i="2" s="1"/>
  <c r="F20" i="2" s="1"/>
  <c r="G21" i="2" s="1"/>
  <c r="H22" i="2" s="1"/>
  <c r="I23" i="2" s="1"/>
  <c r="P15" i="2"/>
  <c r="Q15" i="2" s="1"/>
  <c r="C16" i="2"/>
  <c r="D17" i="2" s="1"/>
  <c r="E18" i="2" s="1"/>
  <c r="F19" i="2" s="1"/>
  <c r="G20" i="2" s="1"/>
  <c r="H21" i="2" s="1"/>
  <c r="I22" i="2" s="1"/>
  <c r="J23" i="2" s="1"/>
  <c r="P14" i="2"/>
  <c r="Q14" i="2" s="1"/>
  <c r="C15" i="2"/>
  <c r="D16" i="2" s="1"/>
  <c r="E17" i="2" s="1"/>
  <c r="F18" i="2" s="1"/>
  <c r="G19" i="2" s="1"/>
  <c r="H20" i="2" s="1"/>
  <c r="I21" i="2" s="1"/>
  <c r="J22" i="2" s="1"/>
  <c r="K23" i="2" s="1"/>
  <c r="P13" i="2"/>
  <c r="Q13" i="2" s="1"/>
  <c r="C14" i="2"/>
  <c r="D15" i="2" s="1"/>
  <c r="E16" i="2" s="1"/>
  <c r="F17" i="2" s="1"/>
  <c r="G18" i="2" s="1"/>
  <c r="H19" i="2" s="1"/>
  <c r="I20" i="2" s="1"/>
  <c r="J21" i="2" s="1"/>
  <c r="K22" i="2" s="1"/>
  <c r="L23" i="2" s="1"/>
  <c r="R23" i="2" s="1"/>
  <c r="P12" i="2"/>
  <c r="Q12" i="2" s="1"/>
  <c r="C13" i="2"/>
  <c r="D14" i="2" s="1"/>
  <c r="E15" i="2" s="1"/>
  <c r="F16" i="2" s="1"/>
  <c r="G17" i="2" s="1"/>
  <c r="H18" i="2" s="1"/>
  <c r="I19" i="2" s="1"/>
  <c r="J20" i="2" s="1"/>
  <c r="K21" i="2" s="1"/>
  <c r="L22" i="2" s="1"/>
  <c r="R22" i="2" s="1"/>
  <c r="P11" i="2"/>
  <c r="Q11" i="2" s="1"/>
  <c r="C12" i="2"/>
  <c r="D13" i="2" s="1"/>
  <c r="E14" i="2" s="1"/>
  <c r="F15" i="2" s="1"/>
  <c r="G16" i="2" s="1"/>
  <c r="H17" i="2" s="1"/>
  <c r="I18" i="2" s="1"/>
  <c r="J19" i="2" s="1"/>
  <c r="K20" i="2" s="1"/>
  <c r="L21" i="2" s="1"/>
  <c r="R21" i="2" s="1"/>
  <c r="P10" i="2"/>
  <c r="Q10" i="2" s="1"/>
  <c r="C11" i="2"/>
  <c r="D12" i="2" s="1"/>
  <c r="E13" i="2" s="1"/>
  <c r="F14" i="2" s="1"/>
  <c r="G15" i="2" s="1"/>
  <c r="H16" i="2" s="1"/>
  <c r="I17" i="2" s="1"/>
  <c r="J18" i="2" s="1"/>
  <c r="K19" i="2" s="1"/>
  <c r="L20" i="2" s="1"/>
  <c r="R20" i="2" s="1"/>
  <c r="P9" i="2"/>
  <c r="Q9" i="2" s="1"/>
  <c r="C10" i="2"/>
  <c r="D11" i="2" s="1"/>
  <c r="E12" i="2" s="1"/>
  <c r="F13" i="2" s="1"/>
  <c r="G14" i="2" s="1"/>
  <c r="H15" i="2" s="1"/>
  <c r="I16" i="2" s="1"/>
  <c r="J17" i="2" s="1"/>
  <c r="K18" i="2" s="1"/>
  <c r="L19" i="2" s="1"/>
  <c r="R19" i="2" s="1"/>
  <c r="E42" i="6"/>
  <c r="P8" i="2"/>
  <c r="Q8" i="2" s="1"/>
  <c r="C9" i="2"/>
  <c r="D10" i="2" s="1"/>
  <c r="E11" i="2" s="1"/>
  <c r="F12" i="2" s="1"/>
  <c r="G13" i="2" s="1"/>
  <c r="H14" i="2" s="1"/>
  <c r="I15" i="2" s="1"/>
  <c r="J16" i="2" s="1"/>
  <c r="K17" i="2" s="1"/>
  <c r="L18" i="2" s="1"/>
  <c r="R18" i="2" s="1"/>
  <c r="P7" i="2"/>
  <c r="Q7" i="2" s="1"/>
  <c r="C8" i="2"/>
  <c r="D9" i="2" s="1"/>
  <c r="E10" i="2" s="1"/>
  <c r="F11" i="2" s="1"/>
  <c r="G12" i="2" s="1"/>
  <c r="H13" i="2" s="1"/>
  <c r="I14" i="2" s="1"/>
  <c r="J15" i="2" s="1"/>
  <c r="K16" i="2" s="1"/>
  <c r="P6" i="2"/>
  <c r="Q6" i="2" s="1"/>
  <c r="C7" i="2"/>
  <c r="D8" i="2" s="1"/>
  <c r="E9" i="2" s="1"/>
  <c r="F10" i="2" s="1"/>
  <c r="G11" i="2" s="1"/>
  <c r="H12" i="2" s="1"/>
  <c r="I13" i="2" s="1"/>
  <c r="J14" i="2" s="1"/>
  <c r="K15" i="2" s="1"/>
  <c r="L16" i="2" s="1"/>
  <c r="R16" i="2" s="1"/>
  <c r="P5" i="2"/>
  <c r="Q5" i="2" s="1"/>
  <c r="D7" i="2"/>
  <c r="E8" i="2" s="1"/>
  <c r="F9" i="2" s="1"/>
  <c r="G10" i="2" s="1"/>
  <c r="H11" i="2" s="1"/>
  <c r="I12" i="2" s="1"/>
  <c r="J13" i="2" s="1"/>
  <c r="K14" i="2" s="1"/>
  <c r="L15" i="2" s="1"/>
  <c r="R15" i="2" s="1"/>
  <c r="C24" i="13"/>
  <c r="B42" i="6"/>
  <c r="P4" i="2"/>
  <c r="Q4" i="2" s="1"/>
  <c r="C5" i="2"/>
  <c r="C36" i="13"/>
  <c r="C43" i="13"/>
  <c r="J6" i="10"/>
  <c r="H24" i="16" s="1"/>
  <c r="I6" i="10"/>
  <c r="I24" i="16" s="1"/>
  <c r="H6" i="10"/>
  <c r="J24" i="16" s="1"/>
  <c r="G6" i="10"/>
  <c r="K24" i="16" s="1"/>
  <c r="F6" i="10"/>
  <c r="L24" i="16" s="1"/>
  <c r="E6" i="10"/>
  <c r="M24" i="16" s="1"/>
  <c r="D6" i="10"/>
  <c r="N24" i="16" s="1"/>
  <c r="C6" i="10"/>
  <c r="O24" i="16" s="1"/>
  <c r="B6" i="10"/>
  <c r="C16" i="13"/>
  <c r="C15" i="13"/>
  <c r="C14" i="13"/>
  <c r="C13" i="13"/>
  <c r="C12" i="13"/>
  <c r="C11" i="13"/>
  <c r="C9" i="13"/>
  <c r="C8" i="13"/>
  <c r="B39" i="5"/>
  <c r="I38" i="5"/>
  <c r="K38" i="5"/>
  <c r="J38" i="5"/>
  <c r="L34" i="5"/>
  <c r="I34" i="5"/>
  <c r="J34" i="5"/>
  <c r="K34" i="5"/>
  <c r="L35" i="5"/>
  <c r="F63" i="14"/>
  <c r="F62" i="14"/>
  <c r="B27" i="9"/>
  <c r="C27" i="9"/>
  <c r="E27" i="9"/>
  <c r="H27" i="9"/>
  <c r="J27" i="9"/>
  <c r="K27" i="9"/>
  <c r="D27" i="9"/>
  <c r="L27" i="9"/>
  <c r="F27" i="9"/>
  <c r="M27" i="9"/>
  <c r="I27" i="9"/>
  <c r="G27" i="9"/>
  <c r="C39" i="5"/>
  <c r="E43" i="6"/>
  <c r="H43" i="6"/>
  <c r="A44" i="6"/>
  <c r="A29" i="6"/>
  <c r="E10" i="6"/>
  <c r="E11" i="6" s="1"/>
  <c r="E12" i="6" s="1"/>
  <c r="E13" i="6" s="1"/>
  <c r="E14" i="6" s="1"/>
  <c r="D31" i="5"/>
  <c r="B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V29" i="2"/>
  <c r="V28" i="2"/>
  <c r="B24" i="2"/>
  <c r="C53" i="2" s="1"/>
  <c r="D6" i="2" l="1"/>
  <c r="E7" i="2" s="1"/>
  <c r="F8" i="2" s="1"/>
  <c r="L17" i="2"/>
  <c r="R17" i="2" s="1"/>
  <c r="P24" i="16"/>
  <c r="B5" i="20" s="1"/>
  <c r="G5" i="16"/>
  <c r="B43" i="5"/>
  <c r="B47" i="5"/>
  <c r="E26" i="13" s="1"/>
  <c r="B45" i="5"/>
  <c r="B41" i="5"/>
  <c r="L28" i="9"/>
  <c r="L29" i="9" s="1"/>
  <c r="D39" i="5"/>
  <c r="D35" i="5"/>
  <c r="E44" i="6"/>
  <c r="H44" i="6"/>
  <c r="A45" i="6"/>
  <c r="A30" i="6"/>
  <c r="E31" i="5"/>
  <c r="C41" i="5"/>
  <c r="C45" i="5"/>
  <c r="C43" i="5"/>
  <c r="C47" i="5"/>
  <c r="V30" i="2"/>
  <c r="W28" i="2"/>
  <c r="W29" i="2"/>
  <c r="W30" i="2" s="1"/>
  <c r="G9" i="2" l="1"/>
  <c r="H10" i="2" s="1"/>
  <c r="I11" i="2" s="1"/>
  <c r="J12" i="2" s="1"/>
  <c r="K13" i="2" s="1"/>
  <c r="L14" i="2" s="1"/>
  <c r="R14" i="2" s="1"/>
  <c r="H38" i="5"/>
  <c r="H34" i="5"/>
  <c r="K28" i="9"/>
  <c r="K29" i="9" s="1"/>
  <c r="E39" i="5"/>
  <c r="E35" i="5"/>
  <c r="E45" i="6"/>
  <c r="H45" i="6"/>
  <c r="A46" i="6"/>
  <c r="A31" i="6"/>
  <c r="F31" i="5"/>
  <c r="D47" i="5"/>
  <c r="D43" i="5"/>
  <c r="D45" i="5"/>
  <c r="D41" i="5"/>
  <c r="X29" i="2"/>
  <c r="X28" i="2"/>
  <c r="F4" i="6" l="1"/>
  <c r="J28" i="9"/>
  <c r="J29" i="9" s="1"/>
  <c r="F39" i="5"/>
  <c r="F35" i="5"/>
  <c r="E46" i="6"/>
  <c r="H46" i="6"/>
  <c r="A47" i="6"/>
  <c r="A32" i="6"/>
  <c r="G31" i="5"/>
  <c r="E43" i="5"/>
  <c r="E47" i="5"/>
  <c r="E41" i="5"/>
  <c r="E45" i="5"/>
  <c r="Y28" i="2"/>
  <c r="X30" i="2"/>
  <c r="Y29" i="2"/>
  <c r="Y30" i="2" s="1"/>
  <c r="F5" i="6" l="1"/>
  <c r="C27" i="6"/>
  <c r="I28" i="9"/>
  <c r="I29" i="9" s="1"/>
  <c r="G39" i="5"/>
  <c r="G35" i="5"/>
  <c r="H47" i="6"/>
  <c r="A48" i="6"/>
  <c r="A33" i="6"/>
  <c r="H31" i="5"/>
  <c r="F43" i="5"/>
  <c r="F47" i="5"/>
  <c r="F41" i="5"/>
  <c r="F45" i="5"/>
  <c r="Z29" i="2"/>
  <c r="Z28" i="2"/>
  <c r="F6" i="6" l="1"/>
  <c r="B28" i="6"/>
  <c r="D27" i="6"/>
  <c r="F27" i="6" s="1"/>
  <c r="C28" i="6"/>
  <c r="B29" i="6" s="1"/>
  <c r="H28" i="9"/>
  <c r="H29" i="9" s="1"/>
  <c r="H39" i="5"/>
  <c r="H35" i="5"/>
  <c r="H48" i="6"/>
  <c r="I48" i="6" s="1"/>
  <c r="J48" i="6" s="1"/>
  <c r="A49" i="6"/>
  <c r="A34" i="6"/>
  <c r="I31" i="5"/>
  <c r="G47" i="5"/>
  <c r="G43" i="5"/>
  <c r="G45" i="5"/>
  <c r="G41" i="5"/>
  <c r="Z30" i="2"/>
  <c r="AA29" i="2"/>
  <c r="I47" i="6" l="1"/>
  <c r="J47" i="6" s="1"/>
  <c r="D26" i="13"/>
  <c r="F7" i="6"/>
  <c r="C29" i="6"/>
  <c r="D28" i="6"/>
  <c r="F28" i="6" s="1"/>
  <c r="G28" i="9"/>
  <c r="G29" i="9" s="1"/>
  <c r="I39" i="5"/>
  <c r="I35" i="5"/>
  <c r="H49" i="6"/>
  <c r="I49" i="6" s="1"/>
  <c r="J49" i="6" s="1"/>
  <c r="A50" i="6"/>
  <c r="A35" i="6"/>
  <c r="J31" i="5"/>
  <c r="H43" i="5"/>
  <c r="H47" i="5"/>
  <c r="H45" i="5"/>
  <c r="H41" i="5"/>
  <c r="H46" i="5"/>
  <c r="H42" i="5"/>
  <c r="AB29" i="2"/>
  <c r="I46" i="6" l="1"/>
  <c r="F46" i="6"/>
  <c r="G46" i="6" s="1"/>
  <c r="F8" i="6"/>
  <c r="D29" i="6"/>
  <c r="F29" i="6" s="1"/>
  <c r="B30" i="6"/>
  <c r="C30" i="6"/>
  <c r="B31" i="6" s="1"/>
  <c r="F28" i="9"/>
  <c r="F29" i="9" s="1"/>
  <c r="J39" i="5"/>
  <c r="J35" i="5"/>
  <c r="H50" i="6"/>
  <c r="I50" i="6" s="1"/>
  <c r="J50" i="6" s="1"/>
  <c r="A51" i="6"/>
  <c r="A36" i="6"/>
  <c r="K31" i="5"/>
  <c r="I47" i="5"/>
  <c r="I43" i="5"/>
  <c r="I41" i="5"/>
  <c r="I45" i="5"/>
  <c r="I42" i="5"/>
  <c r="I46" i="5"/>
  <c r="AC29" i="2"/>
  <c r="J46" i="6" l="1"/>
  <c r="I45" i="6"/>
  <c r="F45" i="6"/>
  <c r="G45" i="6" s="1"/>
  <c r="F9" i="6"/>
  <c r="C31" i="6"/>
  <c r="D30" i="6"/>
  <c r="F30" i="6" s="1"/>
  <c r="E28" i="9"/>
  <c r="E29" i="9" s="1"/>
  <c r="K39" i="5"/>
  <c r="K35" i="5"/>
  <c r="H51" i="6"/>
  <c r="I51" i="6" s="1"/>
  <c r="J51" i="6" s="1"/>
  <c r="A52" i="6"/>
  <c r="A37" i="6"/>
  <c r="L31" i="5"/>
  <c r="J43" i="5"/>
  <c r="J47" i="5"/>
  <c r="J45" i="5"/>
  <c r="J41" i="5"/>
  <c r="J42" i="5"/>
  <c r="J46" i="5"/>
  <c r="AD29" i="2"/>
  <c r="J45" i="6" l="1"/>
  <c r="I44" i="6"/>
  <c r="J44" i="6" s="1"/>
  <c r="F44" i="6"/>
  <c r="F10" i="6"/>
  <c r="D31" i="6"/>
  <c r="F31" i="6" s="1"/>
  <c r="B32" i="6"/>
  <c r="C32" i="6"/>
  <c r="B33" i="6" s="1"/>
  <c r="D28" i="9"/>
  <c r="D29" i="9" s="1"/>
  <c r="L47" i="5"/>
  <c r="H52" i="6"/>
  <c r="I52" i="6" s="1"/>
  <c r="J52" i="6" s="1"/>
  <c r="K43" i="5"/>
  <c r="K47" i="5"/>
  <c r="K41" i="5"/>
  <c r="K45" i="5"/>
  <c r="K42" i="5"/>
  <c r="K46" i="5"/>
  <c r="AF29" i="2"/>
  <c r="AE29" i="2"/>
  <c r="G44" i="6" l="1"/>
  <c r="C26" i="13"/>
  <c r="I43" i="6"/>
  <c r="F43" i="6"/>
  <c r="G43" i="6" s="1"/>
  <c r="C42" i="6"/>
  <c r="D42" i="6" s="1"/>
  <c r="F11" i="6"/>
  <c r="C33" i="6"/>
  <c r="B34" i="6" s="1"/>
  <c r="D32" i="6"/>
  <c r="F32" i="6" s="1"/>
  <c r="C28" i="9"/>
  <c r="L42" i="5"/>
  <c r="L46" i="5"/>
  <c r="I42" i="6"/>
  <c r="J42" i="6" s="1"/>
  <c r="L43" i="5"/>
  <c r="J43" i="6" l="1"/>
  <c r="F42" i="6"/>
  <c r="C25" i="13"/>
  <c r="C29" i="9"/>
  <c r="B28" i="9"/>
  <c r="B29" i="9" s="1"/>
  <c r="F12" i="6"/>
  <c r="D33" i="6"/>
  <c r="F33" i="6" s="1"/>
  <c r="C34" i="6"/>
  <c r="B35" i="6" s="1"/>
  <c r="G42" i="6" l="1"/>
  <c r="L42" i="6" s="1"/>
  <c r="E27" i="6" s="1"/>
  <c r="K42" i="6"/>
  <c r="B10" i="18" s="1"/>
  <c r="B17" i="18" s="1"/>
  <c r="D17" i="18" s="1"/>
  <c r="G17" i="18" s="1"/>
  <c r="H17" i="18" s="1"/>
  <c r="F13" i="6"/>
  <c r="F14" i="6"/>
  <c r="D34" i="6"/>
  <c r="F34" i="6" s="1"/>
  <c r="C35" i="6"/>
  <c r="C4" i="13" l="1"/>
  <c r="B11" i="12"/>
  <c r="B13" i="12" s="1"/>
  <c r="C5" i="13" s="1"/>
  <c r="C20" i="13" s="1"/>
  <c r="G27" i="6"/>
  <c r="A23" i="6" s="1"/>
  <c r="D35" i="6"/>
  <c r="F35" i="6" s="1"/>
  <c r="B36" i="6"/>
  <c r="C36" i="6"/>
  <c r="B37" i="6" s="1"/>
  <c r="C37" i="6"/>
  <c r="I10" i="13" l="1"/>
  <c r="K16" i="13"/>
  <c r="E15" i="13"/>
  <c r="I13" i="13"/>
  <c r="M11" i="13"/>
  <c r="G10" i="13"/>
  <c r="J16" i="13"/>
  <c r="F10" i="13"/>
  <c r="M14" i="13"/>
  <c r="E10" i="13"/>
  <c r="M9" i="13"/>
  <c r="J14" i="13"/>
  <c r="H9" i="13"/>
  <c r="F15" i="13"/>
  <c r="D16" i="13"/>
  <c r="H10" i="13"/>
  <c r="L16" i="13"/>
  <c r="J13" i="13"/>
  <c r="D15" i="13"/>
  <c r="F13" i="13"/>
  <c r="D8" i="13"/>
  <c r="E13" i="13"/>
  <c r="F16" i="13"/>
  <c r="D13" i="13"/>
  <c r="F8" i="13"/>
  <c r="M12" i="13"/>
  <c r="G8" i="13"/>
  <c r="F11" i="13"/>
  <c r="M15" i="13"/>
  <c r="K12" i="13"/>
  <c r="J12" i="13"/>
  <c r="I12" i="13"/>
  <c r="K8" i="13"/>
  <c r="E9" i="13"/>
  <c r="D12" i="13"/>
  <c r="K11" i="13"/>
  <c r="H16" i="13"/>
  <c r="J11" i="13"/>
  <c r="K14" i="13"/>
  <c r="H11" i="13"/>
  <c r="E16" i="13"/>
  <c r="K9" i="13"/>
  <c r="L12" i="13"/>
  <c r="H8" i="13"/>
  <c r="E11" i="13"/>
  <c r="I8" i="13"/>
  <c r="G9" i="13"/>
  <c r="D9" i="13"/>
  <c r="H13" i="13"/>
  <c r="L11" i="13"/>
  <c r="I16" i="13"/>
  <c r="G13" i="13"/>
  <c r="L14" i="13"/>
  <c r="D10" i="13"/>
  <c r="G16" i="13"/>
  <c r="I11" i="13"/>
  <c r="E8" i="13"/>
  <c r="L9" i="13"/>
  <c r="I14" i="13"/>
  <c r="G11" i="13"/>
  <c r="H14" i="13"/>
  <c r="J9" i="13"/>
  <c r="G14" i="13"/>
  <c r="I9" i="13"/>
  <c r="L15" i="13"/>
  <c r="F14" i="13"/>
  <c r="D11" i="13"/>
  <c r="J8" i="13"/>
  <c r="K15" i="13"/>
  <c r="E14" i="13"/>
  <c r="M10" i="13"/>
  <c r="J15" i="13"/>
  <c r="D14" i="13"/>
  <c r="H12" i="13"/>
  <c r="L10" i="13"/>
  <c r="F9" i="13"/>
  <c r="L8" i="13"/>
  <c r="I15" i="13"/>
  <c r="M13" i="13"/>
  <c r="G12" i="13"/>
  <c r="K10" i="13"/>
  <c r="M8" i="13"/>
  <c r="H15" i="13"/>
  <c r="L13" i="13"/>
  <c r="F12" i="13"/>
  <c r="J10" i="13"/>
  <c r="M16" i="13"/>
  <c r="G15" i="13"/>
  <c r="K13" i="13"/>
  <c r="E12" i="13"/>
  <c r="C33" i="13"/>
  <c r="C32" i="13"/>
  <c r="C31" i="13"/>
  <c r="C30" i="13"/>
  <c r="D36" i="6"/>
  <c r="F36" i="6" s="1"/>
  <c r="D37" i="6"/>
  <c r="F37" i="6" s="1"/>
  <c r="E44" i="13" l="1"/>
  <c r="F44" i="13"/>
  <c r="G44" i="13"/>
  <c r="H44" i="13"/>
  <c r="I44" i="13"/>
  <c r="D44" i="13"/>
  <c r="C44" i="13"/>
  <c r="C37" i="13"/>
  <c r="E37" i="13"/>
  <c r="F37" i="13"/>
  <c r="G37" i="13"/>
  <c r="H37" i="13"/>
  <c r="I37" i="13"/>
  <c r="D37" i="13"/>
  <c r="E45" i="13"/>
  <c r="F45" i="13"/>
  <c r="G45" i="13"/>
  <c r="H45" i="13"/>
  <c r="I45" i="13"/>
  <c r="D45" i="13"/>
  <c r="C45" i="13"/>
  <c r="C38" i="13"/>
  <c r="E38" i="13"/>
  <c r="F38" i="13"/>
  <c r="G38" i="13"/>
  <c r="H38" i="13"/>
  <c r="I38" i="13"/>
  <c r="D38" i="13"/>
  <c r="E46" i="13"/>
  <c r="F46" i="13"/>
  <c r="G46" i="13"/>
  <c r="H46" i="13"/>
  <c r="I46" i="13"/>
  <c r="D46" i="13"/>
  <c r="C46" i="13"/>
  <c r="C39" i="13"/>
  <c r="E39" i="13"/>
  <c r="F39" i="13"/>
  <c r="G39" i="13"/>
  <c r="H39" i="13"/>
  <c r="I39" i="13"/>
  <c r="D39" i="13"/>
  <c r="D40" i="13"/>
  <c r="E40" i="13"/>
  <c r="F40" i="13"/>
  <c r="G40" i="13"/>
  <c r="H40" i="13"/>
  <c r="I40" i="13"/>
  <c r="E47" i="13"/>
  <c r="F47" i="13"/>
  <c r="G47" i="13"/>
  <c r="H47" i="13"/>
  <c r="I47" i="13"/>
  <c r="D47" i="13"/>
  <c r="C47" i="13"/>
  <c r="C40" i="13"/>
  <c r="C8" i="12"/>
  <c r="C18" i="12" s="1"/>
  <c r="D8" i="12"/>
  <c r="D18" i="12" s="1"/>
  <c r="E8" i="12"/>
  <c r="E18" i="12" s="1"/>
  <c r="F8" i="12"/>
  <c r="F18" i="12" s="1"/>
  <c r="G8" i="12"/>
  <c r="G18" i="12" s="1"/>
  <c r="H8" i="12"/>
  <c r="H18" i="12" s="1"/>
  <c r="I8" i="12"/>
  <c r="I18" i="12" s="1"/>
  <c r="J8" i="12"/>
  <c r="J18" i="12" s="1"/>
  <c r="B8" i="12"/>
  <c r="B11" i="18" s="1"/>
  <c r="B18" i="18" s="1"/>
  <c r="B18" i="12"/>
  <c r="D18" i="18" l="1"/>
  <c r="G18" i="18" s="1"/>
  <c r="H18" i="18" s="1"/>
  <c r="B19" i="18"/>
  <c r="D19" i="18" l="1"/>
  <c r="G19" i="18" s="1"/>
  <c r="H19" i="18" s="1"/>
  <c r="B20" i="18"/>
  <c r="D20" i="18" l="1"/>
  <c r="G20" i="18" s="1"/>
  <c r="H20" i="18" s="1"/>
  <c r="B21" i="18"/>
  <c r="D21" i="18" l="1"/>
  <c r="G21" i="18" s="1"/>
  <c r="H21" i="18" s="1"/>
  <c r="B22" i="18"/>
  <c r="D22" i="18" l="1"/>
  <c r="G22" i="18" s="1"/>
  <c r="H22" i="18" s="1"/>
  <c r="B23" i="18"/>
  <c r="D23" i="18" l="1"/>
  <c r="G23" i="18" s="1"/>
  <c r="H23" i="18" s="1"/>
  <c r="B24" i="18"/>
  <c r="D24" i="18" l="1"/>
  <c r="G24" i="18" s="1"/>
  <c r="H24" i="18" s="1"/>
  <c r="B25" i="18"/>
  <c r="D25" i="18" l="1"/>
  <c r="G25" i="18" s="1"/>
  <c r="H25" i="18" s="1"/>
  <c r="B26" i="18"/>
  <c r="B27" i="18" l="1"/>
  <c r="D27" i="18" s="1"/>
  <c r="G27" i="18" s="1"/>
  <c r="H27" i="18" s="1"/>
  <c r="D26" i="18"/>
  <c r="G26" i="18" s="1"/>
  <c r="H26" i="18" s="1"/>
  <c r="K4" i="2"/>
  <c r="L4" i="2"/>
  <c r="J4" i="2"/>
  <c r="I4" i="2"/>
  <c r="H4" i="2"/>
  <c r="G4" i="2"/>
  <c r="F4" i="2"/>
  <c r="E4" i="2"/>
  <c r="D4" i="2"/>
  <c r="R4" i="2"/>
  <c r="C4" i="2"/>
  <c r="D5" i="2"/>
  <c r="E6" i="2"/>
  <c r="E5" i="2"/>
  <c r="F6" i="2"/>
  <c r="F5" i="2"/>
  <c r="G6" i="2"/>
  <c r="G5" i="2"/>
  <c r="H6" i="2"/>
  <c r="H5" i="2"/>
  <c r="I6" i="2"/>
  <c r="I5" i="2"/>
  <c r="J6" i="2"/>
  <c r="J5" i="2"/>
  <c r="K6" i="2"/>
  <c r="K5" i="2"/>
  <c r="L6" i="2"/>
  <c r="L5" i="2"/>
  <c r="F7" i="2"/>
  <c r="G7" i="2"/>
  <c r="H7" i="2"/>
  <c r="I7" i="2"/>
  <c r="J7" i="2"/>
  <c r="K7" i="2"/>
  <c r="L7" i="2"/>
  <c r="E24" i="13"/>
  <c r="D24" i="13"/>
  <c r="B43" i="6"/>
  <c r="G8" i="2"/>
  <c r="G34" i="5"/>
  <c r="G38" i="5"/>
  <c r="H9" i="2"/>
  <c r="I10" i="2"/>
  <c r="J11" i="2"/>
  <c r="K12" i="2"/>
  <c r="L13" i="2"/>
  <c r="R13" i="2"/>
  <c r="B45" i="6"/>
  <c r="B44" i="6"/>
  <c r="H8" i="2"/>
  <c r="F34" i="5"/>
  <c r="F42" i="5" s="1"/>
  <c r="F38" i="5"/>
  <c r="I9" i="2"/>
  <c r="J10" i="2"/>
  <c r="K11" i="2"/>
  <c r="L12" i="2"/>
  <c r="R12" i="2"/>
  <c r="I8" i="2"/>
  <c r="E34" i="5"/>
  <c r="E42" i="5" s="1"/>
  <c r="E38" i="5"/>
  <c r="J9" i="2"/>
  <c r="K10" i="2"/>
  <c r="L11" i="2"/>
  <c r="R11" i="2"/>
  <c r="B46" i="6"/>
  <c r="J8" i="2"/>
  <c r="D34" i="5"/>
  <c r="D42" i="5" s="1"/>
  <c r="D38" i="5"/>
  <c r="D46" i="5"/>
  <c r="K9" i="2"/>
  <c r="L10" i="2"/>
  <c r="R10" i="2"/>
  <c r="E47" i="6"/>
  <c r="B47" i="6"/>
  <c r="F46" i="5"/>
  <c r="F48" i="6" s="1"/>
  <c r="K8" i="2"/>
  <c r="C34" i="5"/>
  <c r="C42" i="5" s="1"/>
  <c r="C38" i="5"/>
  <c r="L9" i="2"/>
  <c r="R9" i="2"/>
  <c r="E48" i="6"/>
  <c r="B48" i="6"/>
  <c r="C48" i="6"/>
  <c r="D48" i="6"/>
  <c r="C47" i="6"/>
  <c r="D47" i="6"/>
  <c r="L8" i="2"/>
  <c r="B46" i="5"/>
  <c r="F52" i="6" s="1"/>
  <c r="E25" i="13"/>
  <c r="B42" i="5"/>
  <c r="R8" i="2"/>
  <c r="E49" i="6"/>
  <c r="B49" i="6"/>
  <c r="C49" i="6"/>
  <c r="D49" i="6"/>
  <c r="C46" i="6"/>
  <c r="D46" i="6"/>
  <c r="L46" i="6" s="1"/>
  <c r="E31" i="6" s="1"/>
  <c r="R7" i="2"/>
  <c r="E50" i="6"/>
  <c r="F50" i="6"/>
  <c r="K50" i="6" s="1"/>
  <c r="B50" i="6"/>
  <c r="C50" i="6"/>
  <c r="D50" i="6"/>
  <c r="C45" i="6"/>
  <c r="D45" i="6"/>
  <c r="L45" i="6" s="1"/>
  <c r="E30" i="6" s="1"/>
  <c r="D17" i="12" s="1"/>
  <c r="R6" i="2"/>
  <c r="R5" i="2"/>
  <c r="K46" i="6"/>
  <c r="E51" i="6"/>
  <c r="B51" i="6"/>
  <c r="C51" i="6"/>
  <c r="D51" i="6"/>
  <c r="C44" i="6"/>
  <c r="D44" i="6"/>
  <c r="L44" i="6" s="1"/>
  <c r="E29" i="6" s="1"/>
  <c r="G29" i="6" s="1"/>
  <c r="K45" i="6"/>
  <c r="E52" i="6"/>
  <c r="B52" i="6"/>
  <c r="C52" i="6"/>
  <c r="D52" i="6"/>
  <c r="C43" i="6"/>
  <c r="D43" i="6"/>
  <c r="L43" i="6" s="1"/>
  <c r="E28" i="6" s="1"/>
  <c r="C24" i="2"/>
  <c r="C54" i="2"/>
  <c r="D24" i="2"/>
  <c r="C55" i="2"/>
  <c r="E24" i="2"/>
  <c r="C56" i="2"/>
  <c r="F24" i="2"/>
  <c r="C57" i="2"/>
  <c r="AA28" i="2"/>
  <c r="G24" i="2"/>
  <c r="C58" i="2"/>
  <c r="H24" i="2"/>
  <c r="C59" i="2"/>
  <c r="AA30" i="2"/>
  <c r="AB28" i="2"/>
  <c r="AB30" i="2"/>
  <c r="AC28" i="2"/>
  <c r="I24" i="2"/>
  <c r="C60" i="2"/>
  <c r="J24" i="2"/>
  <c r="C61" i="2"/>
  <c r="AC30" i="2"/>
  <c r="AD28" i="2"/>
  <c r="AD30" i="2"/>
  <c r="AE28" i="2"/>
  <c r="K24" i="2"/>
  <c r="C62" i="2"/>
  <c r="L24" i="2"/>
  <c r="C63" i="2"/>
  <c r="AE30" i="2"/>
  <c r="AF28" i="2"/>
  <c r="AF30" i="2"/>
  <c r="B7" i="21"/>
  <c r="K44" i="6"/>
  <c r="K43" i="6"/>
  <c r="K8" i="12"/>
  <c r="K18" i="12"/>
  <c r="K48" i="6" l="1"/>
  <c r="G48" i="6"/>
  <c r="K52" i="6"/>
  <c r="G52" i="6"/>
  <c r="G42" i="5"/>
  <c r="E46" i="5"/>
  <c r="F49" i="6" s="1"/>
  <c r="C46" i="5"/>
  <c r="F51" i="6" s="1"/>
  <c r="G50" i="6"/>
  <c r="G31" i="6"/>
  <c r="E17" i="12"/>
  <c r="L50" i="6"/>
  <c r="E35" i="6" s="1"/>
  <c r="I17" i="12" s="1"/>
  <c r="L48" i="6"/>
  <c r="E33" i="6" s="1"/>
  <c r="G17" i="12" s="1"/>
  <c r="L52" i="6"/>
  <c r="E37" i="6" s="1"/>
  <c r="K17" i="12" s="1"/>
  <c r="G28" i="6"/>
  <c r="B17" i="12"/>
  <c r="B19" i="12" s="1"/>
  <c r="G25" i="16"/>
  <c r="G30" i="6"/>
  <c r="C17" i="12"/>
  <c r="G46" i="5"/>
  <c r="G37" i="6" l="1"/>
  <c r="K49" i="6"/>
  <c r="G49" i="6"/>
  <c r="L49" i="6" s="1"/>
  <c r="E34" i="6" s="1"/>
  <c r="G34" i="6" s="1"/>
  <c r="G35" i="6"/>
  <c r="K51" i="6"/>
  <c r="G51" i="6"/>
  <c r="L51" i="6" s="1"/>
  <c r="E36" i="6" s="1"/>
  <c r="H17" i="12"/>
  <c r="C19" i="12"/>
  <c r="G33" i="6"/>
  <c r="H25" i="16"/>
  <c r="D19" i="12"/>
  <c r="E7" i="21"/>
  <c r="G56" i="6"/>
  <c r="A48" i="7" s="1" a="1"/>
  <c r="A56" i="6"/>
  <c r="A39" i="7" s="1" a="1"/>
  <c r="C23" i="6"/>
  <c r="A65" i="6"/>
  <c r="A57" i="7" s="1" a="1"/>
  <c r="C12" i="7" s="1"/>
  <c r="G32" i="16"/>
  <c r="G34" i="16" s="1"/>
  <c r="G36" i="16" s="1"/>
  <c r="G38" i="16" s="1"/>
  <c r="G26" i="16"/>
  <c r="G27" i="16" s="1"/>
  <c r="D25" i="13"/>
  <c r="F47" i="6"/>
  <c r="G36" i="6" l="1"/>
  <c r="J17" i="12"/>
  <c r="A57" i="7"/>
  <c r="A48" i="7"/>
  <c r="C11" i="7"/>
  <c r="G47" i="6"/>
  <c r="L47" i="6" s="1"/>
  <c r="E32" i="6" s="1"/>
  <c r="K47" i="6"/>
  <c r="A39" i="7"/>
  <c r="C10" i="7"/>
  <c r="I25" i="16"/>
  <c r="E19" i="12"/>
  <c r="H26" i="16"/>
  <c r="H27" i="16" s="1"/>
  <c r="H32" i="16"/>
  <c r="H34" i="16" s="1"/>
  <c r="H36" i="16" s="1"/>
  <c r="H38" i="16" s="1"/>
  <c r="I32" i="16" l="1"/>
  <c r="I34" i="16" s="1"/>
  <c r="I36" i="16" s="1"/>
  <c r="I38" i="16" s="1"/>
  <c r="I26" i="16"/>
  <c r="I27" i="16" s="1"/>
  <c r="J25" i="16"/>
  <c r="G32" i="6"/>
  <c r="F17" i="12"/>
  <c r="F19" i="12" s="1"/>
  <c r="G19" i="12" l="1"/>
  <c r="K25" i="16"/>
  <c r="J32" i="16"/>
  <c r="J34" i="16" s="1"/>
  <c r="J36" i="16" s="1"/>
  <c r="J38" i="16" s="1"/>
  <c r="J26" i="16"/>
  <c r="J27" i="16" s="1"/>
  <c r="B23" i="6"/>
  <c r="F23" i="6"/>
  <c r="D23" i="6"/>
  <c r="E23" i="6"/>
  <c r="K32" i="16" l="1"/>
  <c r="K34" i="16" s="1"/>
  <c r="K36" i="16" s="1"/>
  <c r="K38" i="16" s="1"/>
  <c r="K26" i="16"/>
  <c r="K27" i="16" s="1"/>
  <c r="H19" i="12"/>
  <c r="L25" i="16"/>
  <c r="L26" i="16" l="1"/>
  <c r="L27" i="16" s="1"/>
  <c r="L32" i="16"/>
  <c r="L34" i="16" s="1"/>
  <c r="L36" i="16" s="1"/>
  <c r="L38" i="16" s="1"/>
  <c r="M25" i="16"/>
  <c r="I19" i="12"/>
  <c r="N25" i="16" l="1"/>
  <c r="J19" i="12"/>
  <c r="M32" i="16"/>
  <c r="M34" i="16" s="1"/>
  <c r="M36" i="16" s="1"/>
  <c r="M38" i="16" s="1"/>
  <c r="M26" i="16"/>
  <c r="M27" i="16" s="1"/>
  <c r="K19" i="12" l="1"/>
  <c r="O25" i="16"/>
  <c r="N32" i="16"/>
  <c r="N34" i="16" s="1"/>
  <c r="N36" i="16" s="1"/>
  <c r="N38" i="16" s="1"/>
  <c r="N26" i="16"/>
  <c r="N27" i="16" s="1"/>
  <c r="O32" i="16" l="1"/>
  <c r="O34" i="16" s="1"/>
  <c r="O36" i="16" s="1"/>
  <c r="O38" i="16" s="1"/>
  <c r="O26" i="16"/>
  <c r="O27" i="16" s="1"/>
  <c r="P25" i="16"/>
  <c r="I7" i="21"/>
  <c r="P32" i="16" l="1"/>
  <c r="P34" i="16" s="1"/>
  <c r="P36" i="16" s="1"/>
  <c r="P38" i="16" s="1"/>
  <c r="P26" i="16"/>
  <c r="B4" i="20"/>
  <c r="C12" i="20" l="1"/>
  <c r="E12" i="20" s="1"/>
  <c r="F12" i="20" s="1"/>
  <c r="B12" i="20"/>
  <c r="D12" i="20" s="1"/>
  <c r="C13" i="20"/>
  <c r="E13" i="20" s="1"/>
  <c r="F13" i="20" s="1"/>
  <c r="C10" i="20"/>
  <c r="E10" i="20" s="1"/>
  <c r="F10" i="20" s="1"/>
  <c r="C9" i="20"/>
  <c r="E9" i="20" s="1"/>
  <c r="F9" i="20" s="1"/>
  <c r="C11" i="20"/>
  <c r="E11" i="20" s="1"/>
  <c r="F11" i="20" s="1"/>
  <c r="B9" i="20"/>
  <c r="D9" i="20" s="1"/>
  <c r="B13" i="20"/>
  <c r="D13" i="20" s="1"/>
  <c r="B10" i="20"/>
  <c r="D10" i="20" s="1"/>
  <c r="B11" i="20"/>
  <c r="D11" i="20" s="1"/>
  <c r="L7" i="21"/>
  <c r="P2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Akshaya VIJAYAKUMAR SIVAKAMI</author>
  </authors>
  <commentList>
    <comment ref="A30" authorId="0" shapeId="0" xr:uid="{7A0300FD-FF62-41E7-8CFC-E42CF13E8E9C}">
      <text>
        <r>
          <rPr>
            <sz val="11"/>
            <color theme="1"/>
            <rFont val="Calibri"/>
            <family val="2"/>
            <scheme val="minor"/>
          </rPr>
          <t>Akshaya VIJAYAKUMAR SIVAKAMI:
shows the number of seniors per working person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<sst xmlns="http://schemas.openxmlformats.org/spreadsheetml/2006/main" count="826" uniqueCount="508">
  <si>
    <t>Singapore Public Healthcare Sustainability  2026–2035</t>
  </si>
  <si>
    <t>IS 602  ·  G2 Group 6</t>
  </si>
  <si>
    <t>Motivation: Singapore is ageing fast, 1 in 4 Singaporeans aged 65+ by 2030
Rising healthcare demand and increased costs.
Can Singapore's public healthcare system remain sustainable through 2035 and what will affect it?</t>
  </si>
  <si>
    <r>
      <rPr>
        <b/>
        <sz val="12"/>
        <color rgb="FFFFFFFF"/>
        <rFont val="Arial"/>
      </rPr>
      <t>Our approach</t>
    </r>
    <r>
      <rPr>
        <b/>
        <sz val="11"/>
        <color rgb="FFFFFFFF"/>
        <rFont val="Arial"/>
      </rPr>
      <t>: A 4-module spreadsheet model covering demographics, hospital capacity, healthcare costs and financing sustainability</t>
    </r>
  </si>
  <si>
    <t>Prepared by:
Akshaya Vijayakumar Sivakami · Carina Faith Peh Xin Yi · Cher In Teo  · Serene Cheng  · Xiong Yu</t>
  </si>
  <si>
    <t>KEY METRICS AT A GLANCE by 2035</t>
  </si>
  <si>
    <r>
      <rPr>
        <b/>
        <sz val="11"/>
        <color rgb="FF000000"/>
        <rFont val="Arial"/>
      </rPr>
      <t xml:space="preserve">Elderly Dependency Ratio
</t>
    </r>
    <r>
      <rPr>
        <i/>
        <sz val="11"/>
        <color rgb="FF000000"/>
        <rFont val="Arial"/>
      </rPr>
      <t>Aged 65 and above</t>
    </r>
  </si>
  <si>
    <t>Bed Occupancy Rate</t>
  </si>
  <si>
    <t xml:space="preserve">Projected Government Healthcare Cost </t>
  </si>
  <si>
    <t xml:space="preserve">Financing Deficit </t>
  </si>
  <si>
    <t>SGD Billion</t>
  </si>
  <si>
    <t>significant increase from 11% in 2005
KEY DEMAND DRIVER</t>
  </si>
  <si>
    <t>within 85% threshold</t>
  </si>
  <si>
    <t>up from SGD 7.5B in 2025</t>
  </si>
  <si>
    <t>deficit from 2031 — 8.6% of budget</t>
  </si>
  <si>
    <t>NAVIGATION (Click on sheet name to enter)</t>
  </si>
  <si>
    <t>SHEET NAME</t>
  </si>
  <si>
    <t>DESCRIPTION</t>
  </si>
  <si>
    <t>Influence Diagram</t>
  </si>
  <si>
    <t xml:space="preserve">Visual map of how all model variables connect and interact across modules </t>
  </si>
  <si>
    <t>Blackbox</t>
  </si>
  <si>
    <t>Full model overview — inputs, processes and outputs</t>
  </si>
  <si>
    <t>M1 Population</t>
  </si>
  <si>
    <t>Mortality &amp; fertility rates projections 2026–2035</t>
  </si>
  <si>
    <t>M1 Demand Driver</t>
  </si>
  <si>
    <t>Projected age-band population and elderly dependency ratio</t>
  </si>
  <si>
    <t>M2 HAR</t>
  </si>
  <si>
    <t>Age-specific hospital admission rates used to forecast bed demand</t>
  </si>
  <si>
    <t>M2 Beds</t>
  </si>
  <si>
    <t xml:space="preserve">Annual acute bed expansion projections </t>
  </si>
  <si>
    <t>M2 BOR &amp; Tradeoff Analysis</t>
  </si>
  <si>
    <t>Projected Bed Occupancy Rate (BOR)</t>
  </si>
  <si>
    <t>M2 Sensitivity Analysis</t>
  </si>
  <si>
    <t>Sensitivity analysis: impact of expansion rate, ALOS &amp; policy factors on BOR</t>
  </si>
  <si>
    <t>M3 Healthcare Budget</t>
  </si>
  <si>
    <t>Government healthcare operating expenditure projections 2026–2035</t>
  </si>
  <si>
    <t>M3 Healthcare Costs</t>
  </si>
  <si>
    <t>Cost per admission for government and total projected healthcare expenditure with medical inflation</t>
  </si>
  <si>
    <t>M3 Sensitivity Analysis</t>
  </si>
  <si>
    <t>One-way and two-way sensitivity: inflation rate vs elderly cost multiplier</t>
  </si>
  <si>
    <t>M4 Household Data</t>
  </si>
  <si>
    <t>Resident household size, income and growth rate assumptions 2025–2035</t>
  </si>
  <si>
    <t>M4 Financing Gap and OOP</t>
  </si>
  <si>
    <t>Budget surplus/deficit analysis and out-of-pocket burden per household</t>
  </si>
  <si>
    <t>M4 Trade-off Analysis</t>
  </si>
  <si>
    <t>Trade-off analysis: subsidy rate (55–75%) vs fiscal sustainability in 2035</t>
  </si>
  <si>
    <t>M4 Ward OOP Calculator</t>
  </si>
  <si>
    <t>Interactive tool — select ward type &amp; income to project personal OOP burden</t>
  </si>
  <si>
    <t>Data</t>
  </si>
  <si>
    <t>Source datasets</t>
  </si>
  <si>
    <t>Legend</t>
  </si>
  <si>
    <t>Input</t>
  </si>
  <si>
    <t>Output</t>
  </si>
  <si>
    <t>Decisions (Controllable)</t>
  </si>
  <si>
    <t>Performance measures</t>
  </si>
  <si>
    <t>Beds in public acute hospital</t>
  </si>
  <si>
    <t>Financing gap (surplus or deficit)</t>
  </si>
  <si>
    <t>Weighted avg govt subsidy rate</t>
  </si>
  <si>
    <t>Healthcare as % of household income (Burden status)</t>
  </si>
  <si>
    <t>Government operating healthcare expenditure</t>
  </si>
  <si>
    <t>Acute inpatient subsidies</t>
  </si>
  <si>
    <t>Parameters (Uncontrollable)</t>
  </si>
  <si>
    <t>Consequence variables</t>
  </si>
  <si>
    <t>Age-specific fertility rates</t>
  </si>
  <si>
    <t>Projected govt funded
annual hospital costs</t>
  </si>
  <si>
    <t>Age-specific mortality rates</t>
  </si>
  <si>
    <t xml:space="preserve">Total out of pocket expenditure </t>
  </si>
  <si>
    <t>Hospital admission rate</t>
  </si>
  <si>
    <t>Govt operating expenditure
on hospital budget</t>
  </si>
  <si>
    <t>Medical inflation rate</t>
  </si>
  <si>
    <t>Total hospital bed-day
demand</t>
  </si>
  <si>
    <t>Healthcare CPI</t>
  </si>
  <si>
    <t>Annual household income</t>
  </si>
  <si>
    <t>No. of residents household</t>
  </si>
  <si>
    <t>Average Mortality and Survival Rates (based on rates fom 2021 - 2025)</t>
  </si>
  <si>
    <t>Age-specific Fertility Rates (per thousand residents) Projected (using rates from 2015 - 2025)</t>
  </si>
  <si>
    <t>Data Series</t>
  </si>
  <si>
    <t>Avg Mortality Rate</t>
  </si>
  <si>
    <t>Avg Survival Rate</t>
  </si>
  <si>
    <t>Under 1 Year</t>
  </si>
  <si>
    <t>1 - 4 Years</t>
  </si>
  <si>
    <t>15 - 19 Years</t>
  </si>
  <si>
    <t>5 - 9 Years</t>
  </si>
  <si>
    <t>20 - 24 Years</t>
  </si>
  <si>
    <t>10 - 14 Years</t>
  </si>
  <si>
    <t>25 - 29 Years</t>
  </si>
  <si>
    <t>30 - 34 Years</t>
  </si>
  <si>
    <t>35 - 39 Years</t>
  </si>
  <si>
    <t>40 - 44 Years</t>
  </si>
  <si>
    <t>45 - 49 Years</t>
  </si>
  <si>
    <t>Fertility Rates from 2005 to 2025</t>
  </si>
  <si>
    <t>50 - 54 Years</t>
  </si>
  <si>
    <t>55 - 59 Years</t>
  </si>
  <si>
    <t>60 - 64 Years</t>
  </si>
  <si>
    <t>65 - 69 Years</t>
  </si>
  <si>
    <t>70 - 74 Years</t>
  </si>
  <si>
    <t>75 - 79 Years</t>
  </si>
  <si>
    <t>80 - 84 Years</t>
  </si>
  <si>
    <t>85 - 89 Years</t>
  </si>
  <si>
    <t>90 Years &amp; Over</t>
  </si>
  <si>
    <t>Mortality Rates from 2005 to 2025</t>
  </si>
  <si>
    <t>-</t>
  </si>
  <si>
    <t>Number of Residents from 2005 to 2025</t>
  </si>
  <si>
    <t xml:space="preserve">Total </t>
  </si>
  <si>
    <t>Demographic Projection from 2025 - 2035</t>
  </si>
  <si>
    <t>Age group</t>
  </si>
  <si>
    <t>Age Group</t>
  </si>
  <si>
    <t>2025 Pop</t>
  </si>
  <si>
    <t>Neg 2025</t>
  </si>
  <si>
    <t>2035 Pop</t>
  </si>
  <si>
    <t>TOTAL</t>
  </si>
  <si>
    <t>Group</t>
  </si>
  <si>
    <t>Working age (15-64)</t>
  </si>
  <si>
    <t>Seniors (65+)</t>
  </si>
  <si>
    <t>Dependency ratio</t>
  </si>
  <si>
    <t>Actual</t>
  </si>
  <si>
    <t>Projected</t>
  </si>
  <si>
    <t>Hospital Admission Rate</t>
  </si>
  <si>
    <t>Acute Hospitals - Male</t>
  </si>
  <si>
    <t xml:space="preserve">    0 - 14 Years Old</t>
  </si>
  <si>
    <t xml:space="preserve">    15 - 64 Years Old</t>
  </si>
  <si>
    <t xml:space="preserve">    65 Years Old &amp; Above</t>
  </si>
  <si>
    <t>Acute Hospitals - Female</t>
  </si>
  <si>
    <t>Psychiatric Hospitals - Male</t>
  </si>
  <si>
    <t>Psychiatric Hospitals - Female</t>
  </si>
  <si>
    <t>Community Hospitals - Male</t>
  </si>
  <si>
    <t>Community Hospitals - Female</t>
  </si>
  <si>
    <t>Projected Admissions</t>
  </si>
  <si>
    <t xml:space="preserve">Government Policy Factor(r) </t>
  </si>
  <si>
    <t>Adjusted Rate_year ​ =Linear Forecast Rate×(1−r)^(Year−2024)</t>
  </si>
  <si>
    <t xml:space="preserve">-0.6 to 0 </t>
  </si>
  <si>
    <t>Acute Hospitals - Male - Projected</t>
  </si>
  <si>
    <t>Acute Hospitals - Female - Projected</t>
  </si>
  <si>
    <t>Total Acute Hospitals - Projected</t>
  </si>
  <si>
    <t xml:space="preserve">    0 - 14 Years Old (Projected)</t>
  </si>
  <si>
    <t xml:space="preserve">    15 - 64 Years Old (Projected)</t>
  </si>
  <si>
    <t xml:space="preserve">    65 Years Old &amp; Above (Projected)</t>
  </si>
  <si>
    <t>Admission Rate - Total</t>
  </si>
  <si>
    <t>Total Acute Hospitals - History</t>
  </si>
  <si>
    <t xml:space="preserve">    0 - 14 Years Old (Actual)</t>
  </si>
  <si>
    <t xml:space="preserve">    15 - 64 Years Old (Actual)</t>
  </si>
  <si>
    <t xml:space="preserve">    65 Years Old &amp; Above (Actual)</t>
  </si>
  <si>
    <r>
      <rPr>
        <b/>
        <sz val="11"/>
        <color rgb="FF000000"/>
        <rFont val="Arial"/>
      </rPr>
      <t xml:space="preserve">Government Policy Factor(r) </t>
    </r>
    <r>
      <rPr>
        <sz val="11"/>
        <color rgb="FF000000"/>
        <rFont val="Arial"/>
      </rPr>
      <t>is a bidirectional variable that simulates the impact of the government policies.</t>
    </r>
  </si>
  <si>
    <t>Negative Value (r&lt;0): Represents Proactive Policy outcomes, such as reduced acute demand through preventative care (e.g., Healthier SG).</t>
  </si>
  <si>
    <t>Positive Value (r&gt;0): Represents policy-induced risks, resulting in increased acute demand.</t>
  </si>
  <si>
    <t>Beds In Inpatient Facilities</t>
  </si>
  <si>
    <t>Acute Hospitals</t>
  </si>
  <si>
    <t xml:space="preserve">  Public</t>
  </si>
  <si>
    <t xml:space="preserve">  Not-For-Profit</t>
  </si>
  <si>
    <t xml:space="preserve">  Private</t>
  </si>
  <si>
    <t>Psychiatric Hospitals</t>
  </si>
  <si>
    <t>Community Hospitals</t>
  </si>
  <si>
    <t>Nursing Homes</t>
  </si>
  <si>
    <t>Inpatient Hospice Palliative Care Service (IHPCS)</t>
  </si>
  <si>
    <t>na</t>
  </si>
  <si>
    <t>Projected Beds</t>
  </si>
  <si>
    <t>Annual Bed Expansion Rate (r)</t>
  </si>
  <si>
    <t>Historical</t>
  </si>
  <si>
    <t>Public Acute Hospitals - by History</t>
  </si>
  <si>
    <t>Public Acute Hospitals - by Exp. Rate</t>
  </si>
  <si>
    <t>Public Acute Hospitals</t>
  </si>
  <si>
    <t>Public Acute Hospitals - History</t>
  </si>
  <si>
    <t>Annual Bed Expansion Rate (r)  - Data Source: MOH Bed Expansion Plan</t>
  </si>
  <si>
    <t>Base beds (2024): B_2024=12,000​ (public acute hospital beds)</t>
  </si>
  <si>
    <t>Additional beds (2025–2030): 2,800</t>
  </si>
  <si>
    <t>Target beds (2030): B_2030​=12,000+2,800=14,800</t>
  </si>
  <si>
    <t>Time period: 6 years (n=6)</t>
  </si>
  <si>
    <t>B_2030=B_2024*(1+r)^n, r=the annual expansion rate</t>
  </si>
  <si>
    <t>Solve for r=3.53%</t>
  </si>
  <si>
    <t>Two methods for predicting the bed number form 2024 to 2035:</t>
  </si>
  <si>
    <t>A27 'Public Acute Hospitals - by History' uses historical data (2006–2023) to make predictions from 2024 to 2035.</t>
  </si>
  <si>
    <t>A28 'Acute Hospitals - by Exp. Rate' is calculated using the expansion rate r and the bed number of 2024 (defined in BOR!A7), which is not affected by historical data.</t>
  </si>
  <si>
    <t>A29 'Public Acute Hospitals' is a complete sequence of bed numbers from 2006 to 2035, combining historical data (2006-2023) and predicted data (2024-2035).</t>
  </si>
  <si>
    <t>by history</t>
  </si>
  <si>
    <t>by rate</t>
  </si>
  <si>
    <t>Bed Occupancy Rate (BOR)</t>
  </si>
  <si>
    <t>Option Define</t>
  </si>
  <si>
    <t>Core Assumptions &amp; Official Parameters</t>
  </si>
  <si>
    <t>Bed Expansion Rate</t>
  </si>
  <si>
    <t>Parameter</t>
  </si>
  <si>
    <t>Baseline Value</t>
  </si>
  <si>
    <t>Data Source/Description</t>
  </si>
  <si>
    <t>Year</t>
  </si>
  <si>
    <t xml:space="preserve">Annual Acute Beds </t>
  </si>
  <si>
    <t>Bed Availability Factor</t>
  </si>
  <si>
    <t>BOR Warning Threshold</t>
  </si>
  <si>
    <t>Hospital bed occupancy rate</t>
  </si>
  <si>
    <t>BOR Critical Red Line</t>
  </si>
  <si>
    <t>2024 Acute Hospital Beds</t>
  </si>
  <si>
    <t>MOH Bed Expansion Plan</t>
  </si>
  <si>
    <t>Baseline</t>
  </si>
  <si>
    <t>Average ALOS</t>
  </si>
  <si>
    <t>Waiting Times for Admissions</t>
  </si>
  <si>
    <t>Annual Bed Expansion Rate</t>
  </si>
  <si>
    <t xml:space="preserve">Adjustable </t>
  </si>
  <si>
    <t>ALOS Adjustment Factor</t>
  </si>
  <si>
    <t>Adjusts all age groups' ALOS</t>
  </si>
  <si>
    <t>65+ Pop. Growth Adjust</t>
  </si>
  <si>
    <t>Adjusts 65+ population</t>
  </si>
  <si>
    <t>Government Policy Factor</t>
  </si>
  <si>
    <t xml:space="preserve"> e.g., Healthier SG</t>
  </si>
  <si>
    <t>65+ Population Growth Adjust</t>
  </si>
  <si>
    <t xml:space="preserve">	Age Group</t>
  </si>
  <si>
    <t>Average ALOS (Days)</t>
  </si>
  <si>
    <t>Reasonable Range (Days)</t>
  </si>
  <si>
    <t>Age Factor</t>
  </si>
  <si>
    <t>0 - 14 Years Old</t>
  </si>
  <si>
    <t>4~5</t>
  </si>
  <si>
    <t>15 - 64 Years Old</t>
  </si>
  <si>
    <t>5~7</t>
  </si>
  <si>
    <t>65 Years Old &amp; Above</t>
  </si>
  <si>
    <t>10~14</t>
  </si>
  <si>
    <t>Statistics</t>
  </si>
  <si>
    <t>BOR-2025</t>
  </si>
  <si>
    <t>BOR-2030</t>
  </si>
  <si>
    <t>BOR-2035</t>
  </si>
  <si>
    <t>Average BOR</t>
  </si>
  <si>
    <t>First Warning Year</t>
  </si>
  <si>
    <t>First Redline Year</t>
  </si>
  <si>
    <t>Annual Bed Expansion Rate (%)</t>
  </si>
  <si>
    <t>Primary BOR Influence Factors</t>
  </si>
  <si>
    <t>Supply-Side: Beds</t>
  </si>
  <si>
    <t>Govt Policy Factor</t>
  </si>
  <si>
    <t>Opening Acute Beds</t>
  </si>
  <si>
    <t>Closing Acute Beds</t>
  </si>
  <si>
    <t>Avg Acute Beds</t>
  </si>
  <si>
    <t xml:space="preserve">	Total Bed Days Demand</t>
  </si>
  <si>
    <t>Available Bed Days</t>
  </si>
  <si>
    <t>Bed Occ. Rate (BOR)</t>
  </si>
  <si>
    <t xml:space="preserve">Bed Occupancy Rate (BOR) </t>
  </si>
  <si>
    <t>·</t>
  </si>
  <si>
    <t>Demand-Sid: Admissions &amp; Bed Days</t>
  </si>
  <si>
    <t xml:space="preserve"> 0-14 Years Old</t>
  </si>
  <si>
    <t>Total Admits</t>
  </si>
  <si>
    <t>Total Bed-Day Demand</t>
  </si>
  <si>
    <t>Population</t>
  </si>
  <si>
    <t>Admits(HAR)</t>
  </si>
  <si>
    <t>Bed Days</t>
  </si>
  <si>
    <t xml:space="preserve">2024 total cost per admission per day </t>
  </si>
  <si>
    <t xml:space="preserve">apply medical inflation </t>
  </si>
  <si>
    <t>2025 - cost per admmission (with infaltion factor in)</t>
  </si>
  <si>
    <t>do it for every year until 2035</t>
  </si>
  <si>
    <t xml:space="preserve">Metric </t>
  </si>
  <si>
    <t xml:space="preserve">cost per admission every year * total number of admission = total admission cost </t>
  </si>
  <si>
    <t>ALOS Sensitivity Matrix</t>
  </si>
  <si>
    <t>Admissions Sensitivity Matrix</t>
  </si>
  <si>
    <t>65+ Pop. Growth Adjust (%)</t>
  </si>
  <si>
    <t>Govt Policy Factor Sensitivity Matrix</t>
  </si>
  <si>
    <t>Healthier SG Efficiency Rate</t>
  </si>
  <si>
    <t>BOR Influence Factors Summary</t>
  </si>
  <si>
    <r>
      <rPr>
        <b/>
        <sz val="10"/>
        <color rgb="FF000000"/>
        <rFont val="Arial"/>
      </rPr>
      <t>The Annual Bed Expansion Rate</t>
    </r>
    <r>
      <rPr>
        <sz val="10"/>
        <color rgb="FF000000"/>
        <rFont val="Arial"/>
      </rPr>
      <t xml:space="preserve"> has the </t>
    </r>
    <r>
      <rPr>
        <b/>
        <sz val="10"/>
        <color rgb="FF000000"/>
        <rFont val="Arial"/>
      </rPr>
      <t>largest absolute impact</t>
    </r>
    <r>
      <rPr>
        <sz val="10"/>
        <color rgb="FF000000"/>
        <rFont val="Arial"/>
      </rPr>
      <t>: cutting it from 3.53% to 2.00% increases BOR by 12.71 pp (from 74.21% to 86.80%). The BOR also jumped to over about 87%, breaching the safety threshold and risking patient care.</t>
    </r>
  </si>
  <si>
    <r>
      <rPr>
        <b/>
        <sz val="10"/>
        <color rgb="FF000000"/>
        <rFont val="Arial"/>
      </rPr>
      <t>Government Policy Factor</t>
    </r>
    <r>
      <rPr>
        <sz val="10"/>
        <color rgb="FF000000"/>
        <rFont val="Arial"/>
      </rPr>
      <t xml:space="preserve"> has a</t>
    </r>
    <r>
      <rPr>
        <b/>
        <sz val="10"/>
        <color rgb="FF000000"/>
        <rFont val="Arial"/>
      </rPr>
      <t xml:space="preserve"> strong positive impact</t>
    </r>
    <r>
      <rPr>
        <sz val="10"/>
        <color rgb="FF000000"/>
        <rFont val="Arial"/>
      </rPr>
      <t>: 1 pp efficiency gain raises BOR by ~5.5 pp. (-0.6% → 0%, BOR increases by ~3.3 pp)</t>
    </r>
  </si>
  <si>
    <r>
      <rPr>
        <b/>
        <sz val="10"/>
        <color rgb="FF000000"/>
        <rFont val="Arial"/>
      </rPr>
      <t xml:space="preserve">65+ Pop. Growth Facor </t>
    </r>
    <r>
      <rPr>
        <sz val="10"/>
        <color rgb="FF000000"/>
        <rFont val="Arial"/>
      </rPr>
      <t xml:space="preserve">has a </t>
    </r>
    <r>
      <rPr>
        <b/>
        <sz val="10"/>
        <color rgb="FF000000"/>
        <rFont val="Arial"/>
      </rPr>
      <t>non-linear impact</t>
    </r>
    <r>
      <rPr>
        <sz val="10"/>
        <color rgb="FF000000"/>
        <rFont val="Arial"/>
      </rPr>
      <t>: reducing growth from 1.5% to 0% raises BOR by 0.68 pp</t>
    </r>
  </si>
  <si>
    <r>
      <rPr>
        <b/>
        <sz val="10"/>
        <color rgb="FF000000"/>
        <rFont val="Arial"/>
      </rPr>
      <t>ALOS Factor</t>
    </r>
    <r>
      <rPr>
        <sz val="10"/>
        <color rgb="FF000000"/>
        <rFont val="Arial"/>
      </rPr>
      <t xml:space="preserve"> has a</t>
    </r>
    <r>
      <rPr>
        <b/>
        <sz val="10"/>
        <color rgb="FF000000"/>
        <rFont val="Arial"/>
      </rPr>
      <t xml:space="preserve"> linear, moderate effect</t>
    </r>
    <r>
      <rPr>
        <sz val="10"/>
        <color rgb="FF000000"/>
        <rFont val="Arial"/>
      </rPr>
      <t>: a 10% ALOS reduction cuts BOR by ~5.5 pp.</t>
    </r>
  </si>
  <si>
    <t>Summary</t>
  </si>
  <si>
    <t>Factor</t>
  </si>
  <si>
    <t>Scenario</t>
  </si>
  <si>
    <t xml:space="preserve">	ΔBOR (pp)</t>
  </si>
  <si>
    <t>3.53% → 2.50%</t>
  </si>
  <si>
    <t>100% → 90%</t>
  </si>
  <si>
    <t>1.5% → 0%</t>
  </si>
  <si>
    <t>-0.6% → 0.0%</t>
  </si>
  <si>
    <t>Single-Variable Sensitivity Analysis: Impact of ALOS</t>
  </si>
  <si>
    <t>2035 BOR (Rate=3.53%)</t>
  </si>
  <si>
    <t>-8% (Average ALOS≈5.5)</t>
  </si>
  <si>
    <t>0% (Average ALOS=6)</t>
  </si>
  <si>
    <t>8% (Average ALOS≈6.5)</t>
  </si>
  <si>
    <t>16% (Average ALOS≈7)</t>
  </si>
  <si>
    <t>25% (Average ALOS≈7.5)</t>
  </si>
  <si>
    <t>Single-Variable Sensitivity Analysis: Impact of 65+ Pop. Growth Adjust</t>
  </si>
  <si>
    <t>Single-Variable Sensitivity Analysis: Impact of Annual Bed Expansion Rate on Key BOR Metrics</t>
  </si>
  <si>
    <t>2025 BOR</t>
  </si>
  <si>
    <t>2030 BOR</t>
  </si>
  <si>
    <t>2035 BOR</t>
  </si>
  <si>
    <t xml:space="preserve">Average BOR </t>
  </si>
  <si>
    <t>Two-Variable Sensitivity Analysis: Annual Bed Expansion Rate vs. ALOS Adjustment Factor (Link to BOR_Sensitivity Matrix)</t>
  </si>
  <si>
    <t>Two-Variable Sensitivity Analysis: Annual Bed Expansion Rate vs. 65+ Pop. Growth Adjust (Link to BOR_Admissions Sensitivity Matrix)</t>
  </si>
  <si>
    <t>Two-Variable Sensitivity Analysis: Annual Bed Expansion Rate vs. Government Policy Factor (Link to BOR_Govt Policy Factor Sensitivity Matrix)</t>
  </si>
  <si>
    <t>Assumptions*</t>
  </si>
  <si>
    <t>% of Operating Expenditure on Health Spent on Public Hospitals</t>
  </si>
  <si>
    <t>Operating Expenditure On Health</t>
  </si>
  <si>
    <t>Operating Expenditure (Hospital)</t>
  </si>
  <si>
    <t xml:space="preserve"> </t>
  </si>
  <si>
    <t>`</t>
  </si>
  <si>
    <t>Medical Inflation</t>
  </si>
  <si>
    <t>Year (Historical, base year 2024)</t>
  </si>
  <si>
    <t>Inflation %</t>
  </si>
  <si>
    <t>Year (Forecast)</t>
  </si>
  <si>
    <t>Government Cost Per Admission (Base = 2025), millions S$</t>
  </si>
  <si>
    <t>Bed Demand Days (M2)</t>
  </si>
  <si>
    <t>Government operating expenditure on hospital</t>
  </si>
  <si>
    <t>Government cost per admission day</t>
  </si>
  <si>
    <t>Projected Government Healthcare Costs (millions)</t>
  </si>
  <si>
    <t xml:space="preserve">Inflation </t>
  </si>
  <si>
    <t>Total</t>
  </si>
  <si>
    <t>One-Variable Sensitivity Analysis: Inflation Rate vs Healthcare Costs</t>
  </si>
  <si>
    <t xml:space="preserve">Admissions held constant per year. </t>
  </si>
  <si>
    <t xml:space="preserve">Base Year </t>
  </si>
  <si>
    <t>Demand (M2)</t>
  </si>
  <si>
    <t>Cost per Admission</t>
  </si>
  <si>
    <t>Inflation Rate</t>
  </si>
  <si>
    <t>Two-Variable Sensitivity Analysis: Elderly Cost Multiplier &amp; Inflation Rate vs Healthcare Costs</t>
  </si>
  <si>
    <t>Admissions Numbers (M1, M2)</t>
  </si>
  <si>
    <t>Cost Multiplier</t>
  </si>
  <si>
    <t>Age 0–14</t>
  </si>
  <si>
    <t>Age 15–64</t>
  </si>
  <si>
    <t>Age 65+</t>
  </si>
  <si>
    <t>2.5 (max)</t>
  </si>
  <si>
    <t>Base Year 2025</t>
  </si>
  <si>
    <t>Elderly Cost Multiplier</t>
  </si>
  <si>
    <t>Total Cost</t>
  </si>
  <si>
    <t>Elderly Cost Multiplier / Inflation Rate</t>
  </si>
  <si>
    <t>Household size in singapore 2000-2025</t>
  </si>
  <si>
    <t>DataSeries</t>
  </si>
  <si>
    <t>Projection Assumption: Resident Households grow at 1.6% p.a (recent trend 2020-2025) | Avg Household Size declines at -0.026 p.a (historic trend 2000-2025)</t>
  </si>
  <si>
    <t>Resident Households</t>
  </si>
  <si>
    <t>    1-Person Households</t>
  </si>
  <si>
    <t>    2-Person Households</t>
  </si>
  <si>
    <t>    3-Person Households</t>
  </si>
  <si>
    <t>    4-Person Households</t>
  </si>
  <si>
    <t>    5-Person Households</t>
  </si>
  <si>
    <t>    6-Person Households Or Larger</t>
  </si>
  <si>
    <t>Average Household Size Among Resident Households</t>
  </si>
  <si>
    <t>    Total HDB Dwellings</t>
  </si>
  <si>
    <t>        HDB 1- And 2-Room Flats</t>
  </si>
  <si>
    <t>        HDB 3-Room Flats</t>
  </si>
  <si>
    <t>        HDB 4-Room Flats</t>
  </si>
  <si>
    <t>        HDB 5-Room And Executive Flats</t>
  </si>
  <si>
    <t>    Condominiums And Other Apartments</t>
  </si>
  <si>
    <t>    Landed Properties</t>
  </si>
  <si>
    <t>    Other Types Of Dwelling</t>
  </si>
  <si>
    <t xml:space="preserve">Household size 2000 to 2025 historical trend </t>
  </si>
  <si>
    <t xml:space="preserve">p.a </t>
  </si>
  <si>
    <t xml:space="preserve">No of household 2020 to 2025 recent trend </t>
  </si>
  <si>
    <t xml:space="preserve">Average and Median Salaries Growth Rate </t>
  </si>
  <si>
    <t>(CAGR) 2015-2025</t>
  </si>
  <si>
    <t xml:space="preserve">Average and Median Salaries </t>
  </si>
  <si>
    <t>Dollar</t>
  </si>
  <si>
    <t>Resident Households Average</t>
  </si>
  <si>
    <t>Resident Households Median</t>
  </si>
  <si>
    <t>Resident Employed Households Average</t>
  </si>
  <si>
    <t>Resident Employed Households Median</t>
  </si>
  <si>
    <t>Annual Median Employed Household</t>
  </si>
  <si>
    <t>According to nas.gov.sg, between 2000 and 2014, Singapore's</t>
  </si>
  <si>
    <t xml:space="preserve">economy experienced significant grwoth. Thus, 2000 to 2014 not used to </t>
  </si>
  <si>
    <t>calculate Average and Median Salaries Growth Rate</t>
  </si>
  <si>
    <t>2015-2025 used to calculate CAGR</t>
  </si>
  <si>
    <t>2020-2022 COVID which caused income to drop in 2020</t>
  </si>
  <si>
    <t xml:space="preserve">then spike back in 2021-2022 as economy recovered. </t>
  </si>
  <si>
    <t>Not a true reflection of sustainable income growth</t>
  </si>
  <si>
    <t xml:space="preserve">Years </t>
  </si>
  <si>
    <t>ACTUAL</t>
  </si>
  <si>
    <t>PROJECTED</t>
  </si>
  <si>
    <t>Subsidies for Acute Inpatient Care at Public Healthcare Institutions</t>
  </si>
  <si>
    <t xml:space="preserve">Assumption Table </t>
  </si>
  <si>
    <t>Current Acute Inpatient Subsidy Levels (B2/C Ward)</t>
  </si>
  <si>
    <t xml:space="preserve">Assumptions </t>
  </si>
  <si>
    <t>PCHI Range</t>
  </si>
  <si>
    <t>SC Subsidy Rate</t>
  </si>
  <si>
    <t xml:space="preserve">Parameters </t>
  </si>
  <si>
    <t xml:space="preserve">Low  </t>
  </si>
  <si>
    <t xml:space="preserve">Base </t>
  </si>
  <si>
    <t xml:space="preserve">High </t>
  </si>
  <si>
    <t xml:space="preserve">Unit </t>
  </si>
  <si>
    <t>Low scenario = government grows slowly + lower subsidies -&gt; bigger household burden, smaller financing gap</t>
  </si>
  <si>
    <t>No PCHI (AV ≤ $21,000)</t>
  </si>
  <si>
    <t>Govt Hospital Budget Base Year 2025 (SGD million)</t>
  </si>
  <si>
    <t>SGD million</t>
  </si>
  <si>
    <t>Base scenario = most realistic projection based on historical data → your main model output</t>
  </si>
  <si>
    <t>No PCHI (AV &gt; $21,000)</t>
  </si>
  <si>
    <t>Govt Budget Growth Rate (p.a.)</t>
  </si>
  <si>
    <t>% p.a.</t>
  </si>
  <si>
    <t>High scenario = goverment spending grows fast + higher subsidies → smaller household burden, larger financing gap</t>
  </si>
  <si>
    <t>$0 &lt; PCHI ≤ $2,100</t>
  </si>
  <si>
    <t>Medical Inflation Rate 2025 (from M3)</t>
  </si>
  <si>
    <t>$2,100 &lt; PCHI ≤ $2,300</t>
  </si>
  <si>
    <t>Blended Subsidy Rate</t>
  </si>
  <si>
    <t>%</t>
  </si>
  <si>
    <t>$2,300 &lt; PCHI ≤ $2,600</t>
  </si>
  <si>
    <t xml:space="preserve">No. of Resident Households (2025) </t>
  </si>
  <si>
    <t>Households</t>
  </si>
  <si>
    <t>$2,600 &lt; PCHI ≤ $3,000</t>
  </si>
  <si>
    <t>Household Growth Rate (p.a.)</t>
  </si>
  <si>
    <t>$3,000 &lt; PCHI ≤ $3,300</t>
  </si>
  <si>
    <t>Median Monthly Household Income (2025)</t>
  </si>
  <si>
    <t>SGD/month</t>
  </si>
  <si>
    <t>$3,300 &lt; PCHI ≤ $3,600</t>
  </si>
  <si>
    <t>Income Growth Rate (p.a.)</t>
  </si>
  <si>
    <t>PCHI &gt; $3,600</t>
  </si>
  <si>
    <t xml:space="preserve">Weighted Average </t>
  </si>
  <si>
    <t>According to Ministry of Health (MOH) and CPF data, approximately 7 in 10 of hospitalisations occur in these subsidised wards.</t>
  </si>
  <si>
    <t xml:space="preserve">Current Acute Inpatient Subsidy Levels (B2+ Ward)
</t>
  </si>
  <si>
    <t xml:space="preserve">Projection Table </t>
  </si>
  <si>
    <t>Financing Gap (SGD million)</t>
  </si>
  <si>
    <t xml:space="preserve">Projected Government Healthcare Budget </t>
  </si>
  <si>
    <t>Projected Government Healthcare Cost (M3)</t>
  </si>
  <si>
    <t xml:space="preserve">Financing Gap </t>
  </si>
  <si>
    <t xml:space="preserve">Gap as % of Govt Budget </t>
  </si>
  <si>
    <t xml:space="preserve">Surplus </t>
  </si>
  <si>
    <t xml:space="preserve">Deficit </t>
  </si>
  <si>
    <t>Financing Gap = Total Healthcare Expenditure (M3) − Projected Govt Budget (M3)</t>
  </si>
  <si>
    <t>Household Out-of -Pocket Burden (SGD million)</t>
  </si>
  <si>
    <t>Total Healthcare Expenditure (M3)</t>
  </si>
  <si>
    <t>Government Subsidy Rate (Weighted Average)</t>
  </si>
  <si>
    <t>High</t>
  </si>
  <si>
    <t xml:space="preserve">      click here to change drop down to Low,Base,High scenarios </t>
  </si>
  <si>
    <t xml:space="preserve">Total Out-Of-Pocket Expenditure </t>
  </si>
  <si>
    <t xml:space="preserve">Number of Resident Household </t>
  </si>
  <si>
    <t>Out of Pocket per Household (SGD/year)</t>
  </si>
  <si>
    <t>Median Annual Household Income (SGD/year)</t>
  </si>
  <si>
    <t xml:space="preserve">Healthcare as % of Household Income </t>
  </si>
  <si>
    <t xml:space="preserve">Burden Status </t>
  </si>
  <si>
    <t>Trade off analysis (Subsidy rate vs Fiscal Sustainability )</t>
  </si>
  <si>
    <t>Household share of cost (proxy for out of pocket OOP burden)</t>
  </si>
  <si>
    <t>Estimated total hospital cost (government expenditure and household OOP)</t>
  </si>
  <si>
    <t>Projected government hospital budget</t>
  </si>
  <si>
    <t>Estimated median household income (annual S$ per household)</t>
  </si>
  <si>
    <t>Projected number of resident households</t>
  </si>
  <si>
    <t>Subsidy rate</t>
  </si>
  <si>
    <t>Government healthcare cost projection (S$ million)</t>
  </si>
  <si>
    <t>Total household OOP (S$ million)</t>
  </si>
  <si>
    <t>Financing gap (S$ million)</t>
  </si>
  <si>
    <t>OOP per household (S$ per household)</t>
  </si>
  <si>
    <t>Household OOP as % of household income</t>
  </si>
  <si>
    <t>Note</t>
  </si>
  <si>
    <t>Assumed average government subsidy share of total hospital cost</t>
  </si>
  <si>
    <t xml:space="preserve">Select your ward type and Income Bracket </t>
  </si>
  <si>
    <t>B2/C Ward</t>
  </si>
  <si>
    <t>PCHI -- Per Capita Household Income</t>
  </si>
  <si>
    <t>Select ward class and monthly per capita household income (PCHI) to project out of pocket cost per admission and household burden through 2035</t>
  </si>
  <si>
    <t>No PCHI (AV ≤ $21000)</t>
  </si>
  <si>
    <t>Household has NO income but owns a property worth ≤ $21,000 annual value
e.g. elderly retirees living in HDB with no income
Subsidy = 80% (most help needed)</t>
  </si>
  <si>
    <t>No PCHI (AV &gt; $21000)</t>
  </si>
  <si>
    <r>
      <t xml:space="preserve">Household has NO income but owns a property worth &gt; $21,000 annual value e.g. retirees living in private property — asset rich but income poor Subsidy = </t>
    </r>
    <r>
      <rPr>
        <b/>
        <sz val="11"/>
        <color theme="1"/>
        <rFont val="Calibri"/>
        <family val="2"/>
        <scheme val="minor"/>
      </rPr>
      <t>50%</t>
    </r>
    <r>
      <rPr>
        <sz val="11"/>
        <color theme="1"/>
        <rFont val="Calibri"/>
        <family val="2"/>
        <scheme val="minor"/>
      </rPr>
      <t xml:space="preserve"> (lower help since they own expensive property)</t>
    </r>
  </si>
  <si>
    <t>Step 1: Select your scenario</t>
  </si>
  <si>
    <t>$0 &lt; PCHI ≤ $2100</t>
  </si>
  <si>
    <r>
      <t xml:space="preserve">Very low income households e.g. family of 4 earning less than $8,400/month total Subsidy = </t>
    </r>
    <r>
      <rPr>
        <b/>
        <sz val="11"/>
        <color theme="1"/>
        <rFont val="Calibri"/>
        <family val="2"/>
        <scheme val="minor"/>
      </rPr>
      <t>80%</t>
    </r>
  </si>
  <si>
    <t>Ward Type (Based on PCHI)</t>
  </si>
  <si>
    <t>B2+ Ward</t>
  </si>
  <si>
    <t>Per Capita Household Income (PCHI) is the total gross monthly income of all household members divided by the number of people in the household</t>
  </si>
  <si>
    <t>$2100 &lt; PCHI ≤ $2300</t>
  </si>
  <si>
    <r>
      <t xml:space="preserve">Low income e.g. family of 4 earning $8,400–$9,200/month Subsidy = </t>
    </r>
    <r>
      <rPr>
        <b/>
        <sz val="11"/>
        <color theme="1"/>
        <rFont val="Calibri"/>
        <family val="2"/>
        <scheme val="minor"/>
      </rPr>
      <t>75%</t>
    </r>
  </si>
  <si>
    <t>Monthly PCHI bracket</t>
  </si>
  <si>
    <t>$3300 &lt; PCHI ≤ $3600</t>
  </si>
  <si>
    <t>$2300 &lt; PCHI ≤ $2600</t>
  </si>
  <si>
    <r>
      <t xml:space="preserve">Lower middle income Subsidy = </t>
    </r>
    <r>
      <rPr>
        <b/>
        <sz val="11"/>
        <color theme="1"/>
        <rFont val="Calibri"/>
        <family val="2"/>
        <scheme val="minor"/>
      </rPr>
      <t>70%</t>
    </r>
  </si>
  <si>
    <t xml:space="preserve">Applied Subsidy Rate </t>
  </si>
  <si>
    <t>$2600 &lt; PCHI ≤ $3000</t>
  </si>
  <si>
    <r>
      <rPr>
        <sz val="11"/>
        <color rgb="FF000000"/>
        <rFont val="Calibri"/>
        <family val="2"/>
        <scheme val="minor"/>
      </rPr>
      <t xml:space="preserve">Middle income e.g. family of 4 earning $10,400–$12,000/month Subsidy = </t>
    </r>
    <r>
      <rPr>
        <b/>
        <sz val="11"/>
        <color rgb="FF000000"/>
        <rFont val="Calibri"/>
        <family val="2"/>
        <scheme val="minor"/>
      </rPr>
      <t>65%</t>
    </r>
    <r>
      <rPr>
        <sz val="11"/>
        <color rgb="FF000000"/>
        <rFont val="Calibri"/>
        <family val="2"/>
        <scheme val="minor"/>
      </rPr>
      <t xml:space="preserve"> </t>
    </r>
  </si>
  <si>
    <t>$3000 &lt; PCHI ≤ $3300</t>
  </si>
  <si>
    <r>
      <t xml:space="preserve">Upper middle income Subsidy = </t>
    </r>
    <r>
      <rPr>
        <b/>
        <sz val="11"/>
        <color theme="1"/>
        <rFont val="Calibri"/>
        <family val="2"/>
        <scheme val="minor"/>
      </rPr>
      <t>60%</t>
    </r>
  </si>
  <si>
    <t xml:space="preserve">Step 2: Key Assumption </t>
  </si>
  <si>
    <r>
      <t xml:space="preserve">High income Subsidy = </t>
    </r>
    <r>
      <rPr>
        <b/>
        <sz val="11"/>
        <color theme="1"/>
        <rFont val="Calibri"/>
        <family val="2"/>
        <scheme val="minor"/>
      </rPr>
      <t>55%</t>
    </r>
  </si>
  <si>
    <t>Average Cost per Admission 2025 (SGD)</t>
  </si>
  <si>
    <t>Hospital Operating Expenditure 2025 (M3) ÷ Total Admissions 2025 (M2)</t>
  </si>
  <si>
    <t>PCHI &gt; $3600</t>
  </si>
  <si>
    <r>
      <t xml:space="preserve">Highest income e.g. family of 4 earning more than $14,400/month Subsidy = </t>
    </r>
    <r>
      <rPr>
        <b/>
        <sz val="11"/>
        <color theme="1"/>
        <rFont val="Calibri"/>
        <family val="2"/>
        <scheme val="minor"/>
      </rPr>
      <t>50%</t>
    </r>
    <r>
      <rPr>
        <sz val="11"/>
        <color theme="1"/>
        <rFont val="Calibri"/>
        <family val="2"/>
        <scheme val="minor"/>
      </rPr>
      <t xml:space="preserve"> (least help needed)</t>
    </r>
  </si>
  <si>
    <t>Medical Inflation Rate (from M3)</t>
  </si>
  <si>
    <t>Household Income Growth Rate</t>
  </si>
  <si>
    <t>Median Monthly HH Employment Income 2025 (SGD)</t>
  </si>
  <si>
    <t>Step 3: Projected Out of Pocket per Admission and Household Burden (2025-2035)</t>
  </si>
  <si>
    <t>Cost per
Admission (SGD)</t>
  </si>
  <si>
    <t>Applied
Subsidy Rate</t>
  </si>
  <si>
    <t>OOP per
Admission (SGD)</t>
  </si>
  <si>
    <t>Median Monthly
Household Income (SGD)</t>
  </si>
  <si>
    <t>Median Annual
Household Income (SGD)</t>
  </si>
  <si>
    <t>OOP as % of Annual Income</t>
  </si>
  <si>
    <t>Burden
Status</t>
  </si>
  <si>
    <t>Household burden is classified as Low (&lt; 5% of annual income), Moderate (5–10%) and High (&gt; 10%), based on general financial planning benchmarks. No official MOH threshold exists for household healthcare burden classification.</t>
  </si>
  <si>
    <t>Data Description</t>
  </si>
  <si>
    <t>Purpose</t>
  </si>
  <si>
    <t>Source</t>
  </si>
  <si>
    <t xml:space="preserve">Demographic Projection: Population </t>
  </si>
  <si>
    <t>Singapore Population by Age Group</t>
  </si>
  <si>
    <t xml:space="preserve">To analyze population growth trends and project future population by age group through 2035. Base population will be used to forecast hospital demand </t>
  </si>
  <si>
    <t>https://www.singstat.gov.sg/find-data/search-by-theme/population/population-and-population-structure/latest-data</t>
  </si>
  <si>
    <t xml:space="preserve">Hospital Demand and Admission Forecasting </t>
  </si>
  <si>
    <t>Hospital Admission Rate By Sex And Age, Annually-HAR</t>
  </si>
  <si>
    <t>Obtain baseline age-specific admission rates.</t>
  </si>
  <si>
    <t>https://data.gov.sg/datasets/d_e2acb8eaf4eaf1e0a1608af9a9cd2634/view</t>
  </si>
  <si>
    <t>Acute hospital beds in 2024.  
Annual bed expansion rate.</t>
  </si>
  <si>
    <t>https://www.moh.gov.sg/newsroom/expanding-healthcare-capacity-and-transforming-the-healthcare-workforce</t>
  </si>
  <si>
    <t xml:space="preserve">Used to forecast future acute hospital beds. </t>
  </si>
  <si>
    <t>https://tablebuilder.singstat.gov.sg/table/TS/M870301</t>
  </si>
  <si>
    <t>ALOS: Average length of stay</t>
  </si>
  <si>
    <t>https://www.moh.gov.sg/newsroom/waiting-times-for-admissions-at-public-hospitals</t>
  </si>
  <si>
    <t>Hospital Bed Occupancy Rate</t>
  </si>
  <si>
    <t>BOR thresholds</t>
  </si>
  <si>
    <t>https://www.moh.gov.sg/newsroom/hospital-bed-occupancy-rate/</t>
  </si>
  <si>
    <t xml:space="preserve">Healthcare Cost Projection </t>
  </si>
  <si>
    <t>Annual Government Healthcare Expenditure</t>
  </si>
  <si>
    <t>Used to forecast future expenditure</t>
  </si>
  <si>
    <t>https://data.gov.sg/datasets/d_a40c83a6f36893fc4611eda91f84eb6b/view</t>
  </si>
  <si>
    <t>MOH Healthcare Consumer Price Index</t>
  </si>
  <si>
    <t>Used to calculate healthcare inflation rate</t>
  </si>
  <si>
    <t>https://www.moh.gov.sg/others/resources-and-statistics/consumer-price-indices--cpi----household-healthcare-expenditure/</t>
  </si>
  <si>
    <t xml:space="preserve">Financing and Subsidy Sustainability </t>
  </si>
  <si>
    <t xml:space="preserve">Median household Income </t>
  </si>
  <si>
    <t xml:space="preserve">Latest median monthly income figure </t>
  </si>
  <si>
    <t>https://data.gov.sg/datasets/d_ab4f7ecfc45e0a0eafe4ae4397e77059/view</t>
  </si>
  <si>
    <t xml:space="preserve">Household employment Income </t>
  </si>
  <si>
    <t>To calculate key household income trends (KHIT)</t>
  </si>
  <si>
    <t>https://tablebuilder.singstat.gov.sg/table/TS/M810361</t>
  </si>
  <si>
    <t xml:space="preserve">Number of households in Singapore </t>
  </si>
  <si>
    <t xml:space="preserve">Total number of residents households </t>
  </si>
  <si>
    <t>https://data.gov.sg/datasets/d_2bc812dbfd1e485638435fcdf7aac196/view</t>
  </si>
  <si>
    <t>% subsidy for public hospital patients by ward class</t>
  </si>
  <si>
    <t>https://www.moh.gov.sg/managing-expenses/schemes-and-subsidies/subsidies-for-acute-inpatient-care-at-public-healthcare-institutions/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</si>
</sst>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#,##0_);[Red]\(&quot;$&quot;#,##0\)"/>
    <numFmt numFmtId="165" formatCode="&quot;$&quot;#,##0.00_);[Red]\(&quot;$&quot;#,##0.00\)"/>
    <numFmt numFmtId="166" formatCode="_(* #,##0_);_(* \(#,##0\);_(* &quot;-&quot;_);_(@_)"/>
    <numFmt numFmtId="167" formatCode="_(* #,##0.00_);_(* \(#,##0.00\);_(* &quot;-&quot;??_);_(@_)"/>
    <numFmt numFmtId="168" formatCode="0.0"/>
    <numFmt numFmtId="169" formatCode="0.0%"/>
    <numFmt numFmtId="170" formatCode="_(* #,##0_);_(* \(#,##0\);_(* &quot;-&quot;??_);_(@_)"/>
    <numFmt numFmtId="171" formatCode="_(* #,##0.000_);_(* \(#,##0.000\);_(* &quot;-&quot;??_);_(@_)"/>
    <numFmt numFmtId="172" formatCode="#,##0.##########"/>
    <numFmt numFmtId="173" formatCode="_(* #,##0.0_);_(* \(#,##0.0\);_(* &quot;-&quot;?_);_(@_)"/>
    <numFmt numFmtId="174" formatCode="0.000"/>
    <numFmt numFmtId="175" formatCode="0.000000"/>
    <numFmt numFmtId="176" formatCode="_([$$-409]* #,##0.00_);_([$$-409]* \(#,##0.00\);_([$$-409]* &quot;-&quot;??_);_(@_)"/>
    <numFmt numFmtId="177" formatCode="&quot;$&quot;#,##0.00"/>
    <numFmt numFmtId="178" formatCode="#,##0.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6"/>
      <color theme="1"/>
      <name val="Arial"/>
      <family val="2"/>
    </font>
    <font>
      <b/>
      <i/>
      <sz val="11"/>
      <color theme="5" tint="-0.499984740745262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A0A0A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8"/>
      <color rgb="FFFF0000"/>
      <name val="Arial"/>
    </font>
    <font>
      <b/>
      <sz val="18"/>
      <color theme="0"/>
      <name val="Arial"/>
    </font>
    <font>
      <b/>
      <sz val="9"/>
      <color theme="0"/>
      <name val="Arial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000000"/>
      <name val="Arial"/>
    </font>
    <font>
      <b/>
      <sz val="18"/>
      <color rgb="FF00B050"/>
      <name val="Arial"/>
    </font>
    <font>
      <b/>
      <sz val="18"/>
      <color rgb="FFFFC000"/>
      <name val="Arial"/>
    </font>
    <font>
      <b/>
      <sz val="18"/>
      <color rgb="FF7030A0"/>
      <name val="Arial"/>
    </font>
    <font>
      <sz val="9"/>
      <color theme="1"/>
      <name val="Arial"/>
    </font>
    <font>
      <sz val="11"/>
      <color theme="0"/>
      <name val="Arial"/>
    </font>
    <font>
      <u/>
      <sz val="11"/>
      <color theme="10"/>
      <name val="Arial"/>
    </font>
    <font>
      <sz val="11"/>
      <color theme="4" tint="-0.499984740745262"/>
      <name val="Arial"/>
    </font>
    <font>
      <b/>
      <sz val="11"/>
      <color theme="0"/>
      <name val="Arial"/>
      <family val="2"/>
    </font>
    <font>
      <b/>
      <sz val="12"/>
      <color theme="0"/>
      <name val="Arial"/>
    </font>
    <font>
      <b/>
      <sz val="11"/>
      <color theme="0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9"/>
      <color theme="1"/>
      <name val="Calibri"/>
      <scheme val="minor"/>
    </font>
    <font>
      <sz val="9"/>
      <color theme="1"/>
      <name val="Calibri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BF7"/>
      </patternFill>
    </fill>
    <fill>
      <patternFill patternType="solid">
        <fgColor rgb="FFBDD7EE"/>
        <bgColor rgb="FFD0CECE"/>
      </patternFill>
    </fill>
    <fill>
      <patternFill patternType="solid">
        <fgColor rgb="FFFCD4D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A9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ashed">
        <color rgb="FF000000"/>
      </right>
      <top/>
      <bottom style="thin">
        <color auto="1"/>
      </bottom>
      <diagonal/>
    </border>
    <border>
      <left/>
      <right style="dashed">
        <color rgb="FF000000"/>
      </right>
      <top style="thin">
        <color indexed="64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1"/>
      </bottom>
      <diagonal/>
    </border>
    <border>
      <left style="thin">
        <color theme="2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2"/>
      </right>
      <top style="thin">
        <color theme="1"/>
      </top>
      <bottom/>
      <diagonal/>
    </border>
    <border>
      <left style="thin">
        <color theme="2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dashed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ashed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43">
    <xf numFmtId="0" fontId="0" fillId="0" borderId="0" xfId="0"/>
    <xf numFmtId="0" fontId="4" fillId="0" borderId="0" xfId="0" applyFont="1"/>
    <xf numFmtId="0" fontId="0" fillId="0" borderId="9" xfId="0" applyBorder="1"/>
    <xf numFmtId="10" fontId="0" fillId="0" borderId="0" xfId="0" applyNumberFormat="1"/>
    <xf numFmtId="0" fontId="2" fillId="0" borderId="14" xfId="0" applyFont="1" applyBorder="1" applyAlignment="1">
      <alignment wrapText="1"/>
    </xf>
    <xf numFmtId="0" fontId="2" fillId="0" borderId="14" xfId="0" applyFont="1" applyBorder="1"/>
    <xf numFmtId="0" fontId="0" fillId="0" borderId="0" xfId="0" applyAlignment="1">
      <alignment wrapText="1"/>
    </xf>
    <xf numFmtId="0" fontId="5" fillId="0" borderId="0" xfId="3" applyBorder="1"/>
    <xf numFmtId="0" fontId="0" fillId="0" borderId="27" xfId="0" applyBorder="1" applyAlignment="1">
      <alignment wrapText="1"/>
    </xf>
    <xf numFmtId="0" fontId="0" fillId="0" borderId="27" xfId="0" applyBorder="1"/>
    <xf numFmtId="0" fontId="2" fillId="0" borderId="27" xfId="0" applyFont="1" applyBorder="1" applyAlignment="1">
      <alignment wrapText="1"/>
    </xf>
    <xf numFmtId="0" fontId="5" fillId="0" borderId="0" xfId="3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9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/>
    <xf numFmtId="0" fontId="1" fillId="0" borderId="0" xfId="0" applyFont="1"/>
    <xf numFmtId="0" fontId="4" fillId="24" borderId="6" xfId="0" applyFont="1" applyFill="1" applyBorder="1" applyAlignment="1">
      <alignment horizontal="right" wrapText="1"/>
    </xf>
    <xf numFmtId="164" fontId="4" fillId="25" borderId="10" xfId="0" applyNumberFormat="1" applyFont="1" applyFill="1" applyBorder="1"/>
    <xf numFmtId="0" fontId="4" fillId="24" borderId="7" xfId="0" applyFont="1" applyFill="1" applyBorder="1" applyAlignment="1">
      <alignment horizontal="right" wrapText="1"/>
    </xf>
    <xf numFmtId="10" fontId="4" fillId="25" borderId="15" xfId="0" applyNumberFormat="1" applyFont="1" applyFill="1" applyBorder="1"/>
    <xf numFmtId="164" fontId="4" fillId="25" borderId="15" xfId="0" applyNumberFormat="1" applyFont="1" applyFill="1" applyBorder="1"/>
    <xf numFmtId="0" fontId="4" fillId="26" borderId="6" xfId="0" applyFont="1" applyFill="1" applyBorder="1" applyAlignment="1">
      <alignment horizontal="center" vertical="center" wrapText="1"/>
    </xf>
    <xf numFmtId="0" fontId="4" fillId="26" borderId="10" xfId="0" applyFont="1" applyFill="1" applyBorder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horizontal="left"/>
    </xf>
    <xf numFmtId="9" fontId="15" fillId="0" borderId="1" xfId="0" applyNumberFormat="1" applyFont="1" applyBorder="1" applyAlignment="1">
      <alignment wrapText="1"/>
    </xf>
    <xf numFmtId="176" fontId="15" fillId="0" borderId="1" xfId="0" applyNumberFormat="1" applyFont="1" applyBorder="1" applyAlignment="1">
      <alignment wrapText="1"/>
    </xf>
    <xf numFmtId="10" fontId="15" fillId="0" borderId="1" xfId="0" applyNumberFormat="1" applyFont="1" applyBorder="1" applyAlignment="1">
      <alignment wrapText="1"/>
    </xf>
    <xf numFmtId="0" fontId="17" fillId="0" borderId="0" xfId="0" applyFont="1"/>
    <xf numFmtId="0" fontId="18" fillId="0" borderId="0" xfId="0" applyFont="1"/>
    <xf numFmtId="0" fontId="0" fillId="28" borderId="0" xfId="0" applyFill="1"/>
    <xf numFmtId="0" fontId="0" fillId="9" borderId="0" xfId="0" applyFill="1"/>
    <xf numFmtId="0" fontId="20" fillId="0" borderId="1" xfId="0" applyFont="1" applyBorder="1"/>
    <xf numFmtId="0" fontId="20" fillId="3" borderId="8" xfId="0" applyFont="1" applyFill="1" applyBorder="1"/>
    <xf numFmtId="0" fontId="20" fillId="3" borderId="5" xfId="0" applyFont="1" applyFill="1" applyBorder="1"/>
    <xf numFmtId="0" fontId="20" fillId="3" borderId="1" xfId="0" applyFont="1" applyFill="1" applyBorder="1"/>
    <xf numFmtId="3" fontId="20" fillId="0" borderId="0" xfId="0" applyNumberFormat="1" applyFont="1"/>
    <xf numFmtId="0" fontId="20" fillId="0" borderId="6" xfId="0" applyFont="1" applyBorder="1"/>
    <xf numFmtId="0" fontId="20" fillId="0" borderId="7" xfId="0" applyFont="1" applyBorder="1"/>
    <xf numFmtId="0" fontId="20" fillId="0" borderId="3" xfId="0" applyFont="1" applyBorder="1"/>
    <xf numFmtId="0" fontId="20" fillId="0" borderId="0" xfId="0" applyFont="1"/>
    <xf numFmtId="0" fontId="19" fillId="0" borderId="0" xfId="0" applyFont="1" applyAlignment="1">
      <alignment wrapText="1"/>
    </xf>
    <xf numFmtId="0" fontId="20" fillId="0" borderId="7" xfId="0" quotePrefix="1" applyFont="1" applyBorder="1"/>
    <xf numFmtId="3" fontId="20" fillId="0" borderId="5" xfId="0" applyNumberFormat="1" applyFont="1" applyBorder="1"/>
    <xf numFmtId="3" fontId="20" fillId="0" borderId="1" xfId="0" applyNumberFormat="1" applyFont="1" applyBorder="1"/>
    <xf numFmtId="3" fontId="20" fillId="0" borderId="3" xfId="0" applyNumberFormat="1" applyFont="1" applyBorder="1"/>
    <xf numFmtId="3" fontId="21" fillId="3" borderId="1" xfId="0" applyNumberFormat="1" applyFont="1" applyFill="1" applyBorder="1"/>
    <xf numFmtId="0" fontId="20" fillId="5" borderId="1" xfId="0" applyFont="1" applyFill="1" applyBorder="1"/>
    <xf numFmtId="0" fontId="20" fillId="6" borderId="1" xfId="0" applyFont="1" applyFill="1" applyBorder="1"/>
    <xf numFmtId="3" fontId="21" fillId="4" borderId="1" xfId="0" applyNumberFormat="1" applyFont="1" applyFill="1" applyBorder="1"/>
    <xf numFmtId="0" fontId="20" fillId="6" borderId="3" xfId="0" applyFont="1" applyFill="1" applyBorder="1"/>
    <xf numFmtId="3" fontId="21" fillId="4" borderId="3" xfId="0" applyNumberFormat="1" applyFont="1" applyFill="1" applyBorder="1"/>
    <xf numFmtId="3" fontId="22" fillId="0" borderId="1" xfId="0" applyNumberFormat="1" applyFont="1" applyBorder="1"/>
    <xf numFmtId="0" fontId="23" fillId="0" borderId="2" xfId="0" applyFont="1" applyBorder="1"/>
    <xf numFmtId="0" fontId="20" fillId="0" borderId="0" xfId="0" applyFont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31" xfId="0" applyFont="1" applyBorder="1" applyAlignment="1">
      <alignment horizontal="left" vertical="center"/>
    </xf>
    <xf numFmtId="0" fontId="20" fillId="0" borderId="31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0" fontId="23" fillId="0" borderId="31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4" fillId="0" borderId="0" xfId="0" applyFont="1"/>
    <xf numFmtId="10" fontId="24" fillId="10" borderId="10" xfId="0" applyNumberFormat="1" applyFont="1" applyFill="1" applyBorder="1" applyAlignment="1">
      <alignment horizontal="center"/>
    </xf>
    <xf numFmtId="0" fontId="0" fillId="5" borderId="0" xfId="0" applyFill="1"/>
    <xf numFmtId="0" fontId="15" fillId="16" borderId="1" xfId="0" applyFont="1" applyFill="1" applyBorder="1" applyAlignment="1">
      <alignment wrapText="1"/>
    </xf>
    <xf numFmtId="176" fontId="14" fillId="0" borderId="0" xfId="0" applyNumberFormat="1" applyFont="1"/>
    <xf numFmtId="3" fontId="14" fillId="0" borderId="0" xfId="0" applyNumberFormat="1" applyFont="1"/>
    <xf numFmtId="0" fontId="15" fillId="0" borderId="0" xfId="0" applyFont="1"/>
    <xf numFmtId="0" fontId="14" fillId="15" borderId="0" xfId="0" applyFont="1" applyFill="1"/>
    <xf numFmtId="0" fontId="14" fillId="15" borderId="0" xfId="0" applyFont="1" applyFill="1" applyAlignment="1">
      <alignment wrapText="1"/>
    </xf>
    <xf numFmtId="0" fontId="14" fillId="16" borderId="1" xfId="0" applyFont="1" applyFill="1" applyBorder="1"/>
    <xf numFmtId="9" fontId="14" fillId="0" borderId="0" xfId="0" applyNumberFormat="1" applyFont="1"/>
    <xf numFmtId="0" fontId="24" fillId="20" borderId="7" xfId="0" applyFont="1" applyFill="1" applyBorder="1" applyAlignment="1">
      <alignment wrapText="1"/>
    </xf>
    <xf numFmtId="4" fontId="24" fillId="21" borderId="15" xfId="0" applyNumberFormat="1" applyFont="1" applyFill="1" applyBorder="1"/>
    <xf numFmtId="0" fontId="24" fillId="20" borderId="15" xfId="0" applyFont="1" applyFill="1" applyBorder="1" applyAlignment="1">
      <alignment wrapText="1"/>
    </xf>
    <xf numFmtId="10" fontId="24" fillId="21" borderId="15" xfId="0" applyNumberFormat="1" applyFont="1" applyFill="1" applyBorder="1"/>
    <xf numFmtId="9" fontId="24" fillId="21" borderId="15" xfId="0" applyNumberFormat="1" applyFont="1" applyFill="1" applyBorder="1"/>
    <xf numFmtId="3" fontId="24" fillId="21" borderId="15" xfId="0" applyNumberFormat="1" applyFont="1" applyFill="1" applyBorder="1"/>
    <xf numFmtId="0" fontId="15" fillId="2" borderId="0" xfId="0" applyFont="1" applyFill="1"/>
    <xf numFmtId="9" fontId="15" fillId="2" borderId="0" xfId="0" applyNumberFormat="1" applyFont="1" applyFill="1"/>
    <xf numFmtId="10" fontId="14" fillId="0" borderId="0" xfId="0" applyNumberFormat="1" applyFont="1"/>
    <xf numFmtId="0" fontId="14" fillId="0" borderId="0" xfId="0" applyFont="1" applyAlignment="1">
      <alignment horizontal="center"/>
    </xf>
    <xf numFmtId="167" fontId="14" fillId="0" borderId="0" xfId="0" applyNumberFormat="1" applyFont="1"/>
    <xf numFmtId="10" fontId="14" fillId="22" borderId="0" xfId="0" applyNumberFormat="1" applyFont="1" applyFill="1"/>
    <xf numFmtId="0" fontId="14" fillId="0" borderId="0" xfId="0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26" fillId="9" borderId="0" xfId="0" applyFont="1" applyFill="1"/>
    <xf numFmtId="167" fontId="14" fillId="22" borderId="0" xfId="0" applyNumberFormat="1" applyFont="1" applyFill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10" fontId="14" fillId="22" borderId="0" xfId="0" applyNumberFormat="1" applyFont="1" applyFill="1" applyAlignment="1">
      <alignment horizontal="center" vertical="center"/>
    </xf>
    <xf numFmtId="0" fontId="14" fillId="16" borderId="28" xfId="0" applyFont="1" applyFill="1" applyBorder="1"/>
    <xf numFmtId="0" fontId="14" fillId="16" borderId="0" xfId="0" applyFont="1" applyFill="1"/>
    <xf numFmtId="0" fontId="14" fillId="0" borderId="28" xfId="0" applyFont="1" applyBorder="1" applyAlignment="1">
      <alignment wrapText="1"/>
    </xf>
    <xf numFmtId="167" fontId="14" fillId="3" borderId="28" xfId="0" applyNumberFormat="1" applyFont="1" applyFill="1" applyBorder="1" applyAlignment="1">
      <alignment wrapText="1"/>
    </xf>
    <xf numFmtId="167" fontId="14" fillId="0" borderId="28" xfId="0" applyNumberFormat="1" applyFont="1" applyBorder="1"/>
    <xf numFmtId="167" fontId="28" fillId="0" borderId="28" xfId="0" applyNumberFormat="1" applyFont="1" applyBorder="1"/>
    <xf numFmtId="0" fontId="15" fillId="0" borderId="41" xfId="0" applyFont="1" applyBorder="1"/>
    <xf numFmtId="0" fontId="15" fillId="0" borderId="42" xfId="0" applyFont="1" applyBorder="1"/>
    <xf numFmtId="174" fontId="15" fillId="0" borderId="40" xfId="0" applyNumberFormat="1" applyFont="1" applyBorder="1" applyAlignment="1">
      <alignment horizontal="right" textRotation="1"/>
    </xf>
    <xf numFmtId="0" fontId="15" fillId="0" borderId="40" xfId="0" applyFont="1" applyBorder="1"/>
    <xf numFmtId="0" fontId="15" fillId="0" borderId="45" xfId="0" applyFont="1" applyBorder="1"/>
    <xf numFmtId="0" fontId="15" fillId="0" borderId="46" xfId="0" applyFont="1" applyBorder="1"/>
    <xf numFmtId="169" fontId="15" fillId="0" borderId="49" xfId="0" applyNumberFormat="1" applyFont="1" applyBorder="1"/>
    <xf numFmtId="0" fontId="15" fillId="0" borderId="49" xfId="0" applyFont="1" applyBorder="1"/>
    <xf numFmtId="0" fontId="15" fillId="0" borderId="43" xfId="0" applyFont="1" applyBorder="1"/>
    <xf numFmtId="0" fontId="15" fillId="0" borderId="47" xfId="0" applyFont="1" applyBorder="1"/>
    <xf numFmtId="0" fontId="15" fillId="0" borderId="44" xfId="0" applyFont="1" applyBorder="1"/>
    <xf numFmtId="0" fontId="15" fillId="0" borderId="48" xfId="0" applyFont="1" applyBorder="1"/>
    <xf numFmtId="169" fontId="15" fillId="0" borderId="50" xfId="0" applyNumberFormat="1" applyFont="1" applyBorder="1"/>
    <xf numFmtId="0" fontId="15" fillId="0" borderId="50" xfId="0" applyFont="1" applyBorder="1"/>
    <xf numFmtId="0" fontId="14" fillId="16" borderId="39" xfId="0" applyFont="1" applyFill="1" applyBorder="1" applyAlignment="1">
      <alignment vertical="center" wrapText="1"/>
    </xf>
    <xf numFmtId="0" fontId="14" fillId="16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9" borderId="39" xfId="0" applyFont="1" applyFill="1" applyBorder="1"/>
    <xf numFmtId="177" fontId="14" fillId="19" borderId="39" xfId="0" applyNumberFormat="1" applyFont="1" applyFill="1" applyBorder="1"/>
    <xf numFmtId="177" fontId="14" fillId="19" borderId="0" xfId="0" applyNumberFormat="1" applyFont="1" applyFill="1"/>
    <xf numFmtId="0" fontId="14" fillId="19" borderId="0" xfId="0" applyFont="1" applyFill="1"/>
    <xf numFmtId="0" fontId="14" fillId="19" borderId="0" xfId="0" applyFont="1" applyFill="1" applyAlignment="1">
      <alignment horizontal="center"/>
    </xf>
    <xf numFmtId="0" fontId="14" fillId="0" borderId="39" xfId="0" applyFont="1" applyBorder="1"/>
    <xf numFmtId="177" fontId="14" fillId="0" borderId="39" xfId="0" applyNumberFormat="1" applyFont="1" applyBorder="1"/>
    <xf numFmtId="177" fontId="14" fillId="0" borderId="0" xfId="0" applyNumberFormat="1" applyFont="1"/>
    <xf numFmtId="0" fontId="14" fillId="18" borderId="39" xfId="0" applyFont="1" applyFill="1" applyBorder="1"/>
    <xf numFmtId="177" fontId="14" fillId="18" borderId="39" xfId="0" applyNumberFormat="1" applyFont="1" applyFill="1" applyBorder="1"/>
    <xf numFmtId="177" fontId="14" fillId="18" borderId="0" xfId="0" applyNumberFormat="1" applyFont="1" applyFill="1"/>
    <xf numFmtId="0" fontId="14" fillId="18" borderId="0" xfId="0" applyFont="1" applyFill="1"/>
    <xf numFmtId="0" fontId="14" fillId="18" borderId="0" xfId="0" applyFont="1" applyFill="1" applyAlignment="1">
      <alignment horizontal="center"/>
    </xf>
    <xf numFmtId="0" fontId="24" fillId="18" borderId="0" xfId="0" applyFont="1" applyFill="1"/>
    <xf numFmtId="0" fontId="29" fillId="3" borderId="39" xfId="0" applyFont="1" applyFill="1" applyBorder="1"/>
    <xf numFmtId="177" fontId="29" fillId="3" borderId="0" xfId="0" applyNumberFormat="1" applyFont="1" applyFill="1"/>
    <xf numFmtId="177" fontId="14" fillId="5" borderId="0" xfId="0" applyNumberFormat="1" applyFont="1" applyFill="1"/>
    <xf numFmtId="0" fontId="15" fillId="16" borderId="0" xfId="0" applyFont="1" applyFill="1"/>
    <xf numFmtId="0" fontId="24" fillId="0" borderId="1" xfId="0" applyFont="1" applyBorder="1"/>
    <xf numFmtId="177" fontId="24" fillId="16" borderId="1" xfId="0" applyNumberFormat="1" applyFont="1" applyFill="1" applyBorder="1"/>
    <xf numFmtId="0" fontId="24" fillId="2" borderId="1" xfId="0" applyFont="1" applyFill="1" applyBorder="1"/>
    <xf numFmtId="177" fontId="24" fillId="2" borderId="1" xfId="0" applyNumberFormat="1" applyFont="1" applyFill="1" applyBorder="1"/>
    <xf numFmtId="0" fontId="24" fillId="16" borderId="1" xfId="0" applyFont="1" applyFill="1" applyBorder="1"/>
    <xf numFmtId="0" fontId="26" fillId="0" borderId="0" xfId="0" applyFont="1"/>
    <xf numFmtId="0" fontId="26" fillId="0" borderId="6" xfId="0" applyFont="1" applyBorder="1"/>
    <xf numFmtId="0" fontId="24" fillId="12" borderId="10" xfId="0" applyFont="1" applyFill="1" applyBorder="1" applyAlignment="1">
      <alignment horizontal="center"/>
    </xf>
    <xf numFmtId="0" fontId="26" fillId="0" borderId="7" xfId="0" applyFont="1" applyBorder="1"/>
    <xf numFmtId="3" fontId="24" fillId="12" borderId="15" xfId="0" applyNumberFormat="1" applyFont="1" applyFill="1" applyBorder="1" applyAlignment="1">
      <alignment horizontal="center"/>
    </xf>
    <xf numFmtId="175" fontId="24" fillId="12" borderId="15" xfId="0" applyNumberFormat="1" applyFont="1" applyFill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0" xfId="0" applyFont="1" applyBorder="1"/>
    <xf numFmtId="10" fontId="24" fillId="0" borderId="7" xfId="0" applyNumberFormat="1" applyFont="1" applyBorder="1" applyAlignment="1">
      <alignment horizontal="center"/>
    </xf>
    <xf numFmtId="4" fontId="24" fillId="2" borderId="15" xfId="0" applyNumberFormat="1" applyFont="1" applyFill="1" applyBorder="1" applyAlignment="1">
      <alignment horizontal="center"/>
    </xf>
    <xf numFmtId="4" fontId="24" fillId="0" borderId="15" xfId="0" applyNumberFormat="1" applyFont="1" applyBorder="1" applyAlignment="1">
      <alignment horizontal="center"/>
    </xf>
    <xf numFmtId="10" fontId="24" fillId="19" borderId="7" xfId="0" applyNumberFormat="1" applyFont="1" applyFill="1" applyBorder="1" applyAlignment="1">
      <alignment horizontal="center"/>
    </xf>
    <xf numFmtId="4" fontId="24" fillId="19" borderId="15" xfId="0" applyNumberFormat="1" applyFont="1" applyFill="1" applyBorder="1" applyAlignment="1">
      <alignment horizontal="center"/>
    </xf>
    <xf numFmtId="10" fontId="24" fillId="0" borderId="0" xfId="0" applyNumberFormat="1" applyFont="1" applyAlignment="1">
      <alignment horizontal="center"/>
    </xf>
    <xf numFmtId="4" fontId="24" fillId="0" borderId="0" xfId="0" applyNumberFormat="1" applyFont="1"/>
    <xf numFmtId="10" fontId="24" fillId="12" borderId="15" xfId="0" applyNumberFormat="1" applyFont="1" applyFill="1" applyBorder="1" applyAlignment="1">
      <alignment horizontal="center"/>
    </xf>
    <xf numFmtId="0" fontId="24" fillId="0" borderId="7" xfId="0" applyFont="1" applyBorder="1"/>
    <xf numFmtId="0" fontId="24" fillId="12" borderId="15" xfId="0" applyFont="1" applyFill="1" applyBorder="1" applyAlignment="1">
      <alignment horizontal="center"/>
    </xf>
    <xf numFmtId="0" fontId="26" fillId="13" borderId="6" xfId="0" applyFont="1" applyFill="1" applyBorder="1" applyAlignment="1">
      <alignment horizontal="center"/>
    </xf>
    <xf numFmtId="0" fontId="26" fillId="13" borderId="10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4" fontId="24" fillId="11" borderId="15" xfId="0" applyNumberFormat="1" applyFont="1" applyFill="1" applyBorder="1" applyAlignment="1">
      <alignment horizontal="center"/>
    </xf>
    <xf numFmtId="0" fontId="26" fillId="0" borderId="0" xfId="0" applyFont="1" applyAlignment="1">
      <alignment horizontal="left"/>
    </xf>
    <xf numFmtId="0" fontId="26" fillId="29" borderId="6" xfId="0" applyFont="1" applyFill="1" applyBorder="1"/>
    <xf numFmtId="0" fontId="30" fillId="14" borderId="7" xfId="0" applyFont="1" applyFill="1" applyBorder="1"/>
    <xf numFmtId="0" fontId="24" fillId="0" borderId="6" xfId="0" applyFont="1" applyBorder="1"/>
    <xf numFmtId="3" fontId="24" fillId="8" borderId="6" xfId="0" applyNumberFormat="1" applyFont="1" applyFill="1" applyBorder="1" applyAlignment="1">
      <alignment horizontal="center"/>
    </xf>
    <xf numFmtId="0" fontId="24" fillId="0" borderId="22" xfId="0" applyFont="1" applyBorder="1" applyAlignment="1">
      <alignment wrapText="1"/>
    </xf>
    <xf numFmtId="4" fontId="24" fillId="0" borderId="12" xfId="0" applyNumberFormat="1" applyFont="1" applyBorder="1" applyAlignment="1">
      <alignment horizontal="center"/>
    </xf>
    <xf numFmtId="0" fontId="24" fillId="0" borderId="1" xfId="0" applyFont="1" applyBorder="1" applyAlignment="1">
      <alignment wrapText="1"/>
    </xf>
    <xf numFmtId="175" fontId="24" fillId="0" borderId="1" xfId="0" applyNumberFormat="1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5" fillId="0" borderId="8" xfId="0" applyFont="1" applyBorder="1" applyAlignment="1">
      <alignment horizontal="right"/>
    </xf>
    <xf numFmtId="0" fontId="15" fillId="0" borderId="9" xfId="0" applyFont="1" applyBorder="1" applyAlignment="1">
      <alignment horizontal="right"/>
    </xf>
    <xf numFmtId="0" fontId="15" fillId="0" borderId="10" xfId="0" applyFont="1" applyBorder="1" applyAlignment="1">
      <alignment horizontal="right"/>
    </xf>
    <xf numFmtId="0" fontId="14" fillId="0" borderId="11" xfId="0" applyFont="1" applyBorder="1" applyAlignment="1">
      <alignment horizontal="right"/>
    </xf>
    <xf numFmtId="0" fontId="14" fillId="0" borderId="0" xfId="0" applyFont="1" applyAlignment="1">
      <alignment horizontal="right"/>
    </xf>
    <xf numFmtId="10" fontId="14" fillId="0" borderId="12" xfId="0" applyNumberFormat="1" applyFont="1" applyBorder="1" applyAlignment="1">
      <alignment horizontal="right"/>
    </xf>
    <xf numFmtId="0" fontId="14" fillId="0" borderId="13" xfId="0" applyFont="1" applyBorder="1" applyAlignment="1">
      <alignment horizontal="right"/>
    </xf>
    <xf numFmtId="0" fontId="14" fillId="0" borderId="14" xfId="0" quotePrefix="1" applyFont="1" applyBorder="1" applyAlignment="1">
      <alignment horizontal="right"/>
    </xf>
    <xf numFmtId="10" fontId="14" fillId="0" borderId="15" xfId="0" applyNumberFormat="1" applyFont="1" applyBorder="1" applyAlignment="1">
      <alignment horizontal="right"/>
    </xf>
    <xf numFmtId="10" fontId="14" fillId="0" borderId="8" xfId="0" applyNumberFormat="1" applyFont="1" applyBorder="1" applyAlignment="1">
      <alignment horizontal="right"/>
    </xf>
    <xf numFmtId="10" fontId="14" fillId="0" borderId="9" xfId="0" applyNumberFormat="1" applyFont="1" applyBorder="1" applyAlignment="1">
      <alignment horizontal="left"/>
    </xf>
    <xf numFmtId="10" fontId="14" fillId="0" borderId="10" xfId="0" applyNumberFormat="1" applyFont="1" applyBorder="1"/>
    <xf numFmtId="169" fontId="14" fillId="0" borderId="11" xfId="2" quotePrefix="1" applyNumberFormat="1" applyFont="1" applyBorder="1" applyAlignment="1">
      <alignment horizontal="right"/>
    </xf>
    <xf numFmtId="10" fontId="14" fillId="0" borderId="12" xfId="0" applyNumberFormat="1" applyFont="1" applyBorder="1"/>
    <xf numFmtId="169" fontId="14" fillId="0" borderId="11" xfId="2" applyNumberFormat="1" applyFont="1" applyBorder="1" applyAlignment="1">
      <alignment horizontal="right"/>
    </xf>
    <xf numFmtId="169" fontId="14" fillId="0" borderId="13" xfId="2" applyNumberFormat="1" applyFont="1" applyBorder="1" applyAlignment="1">
      <alignment horizontal="right"/>
    </xf>
    <xf numFmtId="10" fontId="14" fillId="0" borderId="14" xfId="0" applyNumberFormat="1" applyFont="1" applyBorder="1"/>
    <xf numFmtId="10" fontId="14" fillId="0" borderId="15" xfId="0" applyNumberFormat="1" applyFont="1" applyBorder="1"/>
    <xf numFmtId="0" fontId="14" fillId="0" borderId="8" xfId="0" applyFont="1" applyBorder="1" applyAlignment="1">
      <alignment horizontal="right"/>
    </xf>
    <xf numFmtId="169" fontId="14" fillId="0" borderId="9" xfId="2" applyNumberFormat="1" applyFont="1" applyBorder="1" applyAlignment="1">
      <alignment horizontal="left"/>
    </xf>
    <xf numFmtId="169" fontId="14" fillId="0" borderId="10" xfId="2" applyNumberFormat="1" applyFont="1" applyBorder="1" applyAlignment="1">
      <alignment horizontal="right"/>
    </xf>
    <xf numFmtId="10" fontId="14" fillId="0" borderId="11" xfId="0" applyNumberFormat="1" applyFont="1" applyBorder="1"/>
    <xf numFmtId="169" fontId="14" fillId="0" borderId="11" xfId="2" applyNumberFormat="1" applyFont="1" applyBorder="1"/>
    <xf numFmtId="169" fontId="14" fillId="0" borderId="13" xfId="2" applyNumberFormat="1" applyFont="1" applyBorder="1"/>
    <xf numFmtId="0" fontId="15" fillId="0" borderId="14" xfId="0" applyFont="1" applyBorder="1"/>
    <xf numFmtId="0" fontId="14" fillId="0" borderId="14" xfId="0" applyFont="1" applyBorder="1"/>
    <xf numFmtId="0" fontId="15" fillId="0" borderId="13" xfId="0" applyFont="1" applyBorder="1" applyAlignment="1">
      <alignment horizontal="right"/>
    </xf>
    <xf numFmtId="0" fontId="15" fillId="0" borderId="14" xfId="0" applyFont="1" applyBorder="1" applyAlignment="1">
      <alignment horizontal="right"/>
    </xf>
    <xf numFmtId="0" fontId="15" fillId="0" borderId="15" xfId="0" applyFont="1" applyBorder="1" applyAlignment="1">
      <alignment horizontal="right"/>
    </xf>
    <xf numFmtId="10" fontId="14" fillId="0" borderId="23" xfId="0" applyNumberFormat="1" applyFont="1" applyBorder="1"/>
    <xf numFmtId="10" fontId="14" fillId="0" borderId="24" xfId="0" applyNumberFormat="1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12" xfId="0" applyFont="1" applyBorder="1"/>
    <xf numFmtId="10" fontId="14" fillId="0" borderId="13" xfId="0" applyNumberFormat="1" applyFont="1" applyBorder="1"/>
    <xf numFmtId="0" fontId="14" fillId="0" borderId="15" xfId="0" applyFont="1" applyBorder="1"/>
    <xf numFmtId="10" fontId="14" fillId="0" borderId="13" xfId="0" applyNumberFormat="1" applyFont="1" applyBorder="1" applyAlignment="1">
      <alignment horizontal="right"/>
    </xf>
    <xf numFmtId="10" fontId="14" fillId="0" borderId="23" xfId="0" applyNumberFormat="1" applyFont="1" applyBorder="1" applyAlignment="1">
      <alignment horizontal="right"/>
    </xf>
    <xf numFmtId="10" fontId="14" fillId="0" borderId="25" xfId="2" applyNumberFormat="1" applyFont="1" applyBorder="1"/>
    <xf numFmtId="9" fontId="14" fillId="0" borderId="0" xfId="2" applyFont="1"/>
    <xf numFmtId="9" fontId="14" fillId="0" borderId="11" xfId="0" applyNumberFormat="1" applyFont="1" applyBorder="1"/>
    <xf numFmtId="10" fontId="14" fillId="0" borderId="12" xfId="2" applyNumberFormat="1" applyFont="1" applyBorder="1"/>
    <xf numFmtId="2" fontId="14" fillId="0" borderId="0" xfId="0" applyNumberFormat="1" applyFont="1" applyAlignment="1">
      <alignment horizontal="right"/>
    </xf>
    <xf numFmtId="2" fontId="14" fillId="0" borderId="0" xfId="0" applyNumberFormat="1" applyFont="1"/>
    <xf numFmtId="9" fontId="14" fillId="0" borderId="11" xfId="2" applyFont="1" applyBorder="1"/>
    <xf numFmtId="2" fontId="14" fillId="0" borderId="0" xfId="2" applyNumberFormat="1" applyFont="1"/>
    <xf numFmtId="9" fontId="14" fillId="0" borderId="13" xfId="2" applyFont="1" applyBorder="1"/>
    <xf numFmtId="0" fontId="14" fillId="0" borderId="13" xfId="0" applyFont="1" applyBorder="1"/>
    <xf numFmtId="10" fontId="14" fillId="0" borderId="0" xfId="2" applyNumberFormat="1" applyFont="1" applyBorder="1"/>
    <xf numFmtId="10" fontId="14" fillId="0" borderId="14" xfId="2" applyNumberFormat="1" applyFont="1" applyBorder="1"/>
    <xf numFmtId="10" fontId="14" fillId="0" borderId="15" xfId="2" applyNumberFormat="1" applyFont="1" applyBorder="1"/>
    <xf numFmtId="0" fontId="14" fillId="0" borderId="8" xfId="0" applyFont="1" applyBorder="1"/>
    <xf numFmtId="0" fontId="15" fillId="0" borderId="0" xfId="0" applyFont="1" applyAlignment="1">
      <alignment horizontal="right"/>
    </xf>
    <xf numFmtId="0" fontId="15" fillId="0" borderId="19" xfId="0" applyFont="1" applyBorder="1"/>
    <xf numFmtId="0" fontId="15" fillId="0" borderId="19" xfId="0" applyFont="1" applyBorder="1" applyAlignment="1">
      <alignment horizontal="right"/>
    </xf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4" fillId="0" borderId="6" xfId="0" applyFont="1" applyBorder="1"/>
    <xf numFmtId="10" fontId="14" fillId="0" borderId="6" xfId="2" applyNumberFormat="1" applyFont="1" applyBorder="1"/>
    <xf numFmtId="0" fontId="14" fillId="0" borderId="6" xfId="0" applyFont="1" applyBorder="1" applyAlignment="1">
      <alignment horizontal="right"/>
    </xf>
    <xf numFmtId="0" fontId="14" fillId="0" borderId="7" xfId="0" applyFont="1" applyBorder="1" applyAlignment="1">
      <alignment horizontal="left"/>
    </xf>
    <xf numFmtId="170" fontId="14" fillId="0" borderId="7" xfId="1" applyNumberFormat="1" applyFont="1" applyBorder="1"/>
    <xf numFmtId="0" fontId="14" fillId="0" borderId="6" xfId="0" applyFont="1" applyBorder="1" applyAlignment="1">
      <alignment horizontal="left"/>
    </xf>
    <xf numFmtId="170" fontId="14" fillId="0" borderId="6" xfId="1" applyNumberFormat="1" applyFont="1" applyBorder="1"/>
    <xf numFmtId="0" fontId="14" fillId="0" borderId="20" xfId="0" applyFont="1" applyBorder="1"/>
    <xf numFmtId="0" fontId="14" fillId="0" borderId="26" xfId="0" applyFont="1" applyBorder="1"/>
    <xf numFmtId="0" fontId="14" fillId="0" borderId="0" xfId="0" applyFont="1" applyAlignment="1">
      <alignment horizontal="right" wrapText="1"/>
    </xf>
    <xf numFmtId="0" fontId="14" fillId="0" borderId="7" xfId="0" applyFont="1" applyBorder="1"/>
    <xf numFmtId="10" fontId="14" fillId="0" borderId="7" xfId="2" applyNumberFormat="1" applyFont="1" applyBorder="1"/>
    <xf numFmtId="9" fontId="14" fillId="0" borderId="6" xfId="2" applyFont="1" applyFill="1" applyBorder="1" applyAlignment="1"/>
    <xf numFmtId="10" fontId="14" fillId="0" borderId="6" xfId="0" applyNumberFormat="1" applyFont="1" applyBorder="1"/>
    <xf numFmtId="170" fontId="14" fillId="0" borderId="0" xfId="1" applyNumberFormat="1" applyFont="1" applyBorder="1"/>
    <xf numFmtId="169" fontId="14" fillId="0" borderId="0" xfId="0" applyNumberFormat="1" applyFont="1"/>
    <xf numFmtId="0" fontId="24" fillId="0" borderId="6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6" fillId="0" borderId="8" xfId="0" applyFont="1" applyBorder="1" applyAlignment="1">
      <alignment horizontal="right"/>
    </xf>
    <xf numFmtId="0" fontId="26" fillId="0" borderId="9" xfId="0" applyFont="1" applyBorder="1" applyAlignment="1">
      <alignment horizontal="right"/>
    </xf>
    <xf numFmtId="10" fontId="24" fillId="0" borderId="13" xfId="0" applyNumberFormat="1" applyFont="1" applyBorder="1" applyAlignment="1">
      <alignment horizontal="right"/>
    </xf>
    <xf numFmtId="10" fontId="14" fillId="0" borderId="14" xfId="0" applyNumberFormat="1" applyFont="1" applyBorder="1" applyAlignment="1">
      <alignment horizontal="right"/>
    </xf>
    <xf numFmtId="10" fontId="24" fillId="0" borderId="14" xfId="0" applyNumberFormat="1" applyFont="1" applyBorder="1" applyAlignment="1">
      <alignment horizontal="right"/>
    </xf>
    <xf numFmtId="0" fontId="14" fillId="0" borderId="14" xfId="0" applyFont="1" applyBorder="1" applyAlignment="1">
      <alignment horizontal="right"/>
    </xf>
    <xf numFmtId="0" fontId="14" fillId="0" borderId="15" xfId="0" applyFont="1" applyBorder="1" applyAlignment="1">
      <alignment horizontal="right"/>
    </xf>
    <xf numFmtId="10" fontId="24" fillId="0" borderId="8" xfId="0" applyNumberFormat="1" applyFont="1" applyBorder="1"/>
    <xf numFmtId="10" fontId="24" fillId="0" borderId="9" xfId="0" applyNumberFormat="1" applyFont="1" applyBorder="1"/>
    <xf numFmtId="10" fontId="24" fillId="0" borderId="10" xfId="0" applyNumberFormat="1" applyFont="1" applyBorder="1"/>
    <xf numFmtId="10" fontId="14" fillId="9" borderId="6" xfId="2" applyNumberFormat="1" applyFont="1" applyFill="1" applyBorder="1"/>
    <xf numFmtId="10" fontId="14" fillId="0" borderId="23" xfId="2" applyNumberFormat="1" applyFont="1" applyBorder="1"/>
    <xf numFmtId="10" fontId="14" fillId="0" borderId="24" xfId="2" applyNumberFormat="1" applyFont="1" applyBorder="1"/>
    <xf numFmtId="10" fontId="14" fillId="0" borderId="11" xfId="2" applyNumberFormat="1" applyFont="1" applyBorder="1"/>
    <xf numFmtId="10" fontId="14" fillId="0" borderId="13" xfId="2" applyNumberFormat="1" applyFont="1" applyBorder="1"/>
    <xf numFmtId="0" fontId="14" fillId="0" borderId="6" xfId="1" applyNumberFormat="1" applyFont="1" applyBorder="1"/>
    <xf numFmtId="170" fontId="14" fillId="0" borderId="6" xfId="0" applyNumberFormat="1" applyFont="1" applyBorder="1"/>
    <xf numFmtId="170" fontId="14" fillId="0" borderId="0" xfId="0" applyNumberFormat="1" applyFont="1"/>
    <xf numFmtId="173" fontId="14" fillId="0" borderId="0" xfId="0" applyNumberFormat="1" applyFont="1"/>
    <xf numFmtId="171" fontId="14" fillId="0" borderId="0" xfId="1" applyNumberFormat="1" applyFont="1" applyFill="1" applyBorder="1"/>
    <xf numFmtId="10" fontId="24" fillId="0" borderId="6" xfId="0" applyNumberFormat="1" applyFont="1" applyBorder="1" applyAlignment="1">
      <alignment horizontal="right"/>
    </xf>
    <xf numFmtId="0" fontId="14" fillId="0" borderId="10" xfId="0" applyFont="1" applyBorder="1"/>
    <xf numFmtId="10" fontId="14" fillId="0" borderId="8" xfId="0" applyNumberFormat="1" applyFont="1" applyBorder="1"/>
    <xf numFmtId="10" fontId="14" fillId="0" borderId="9" xfId="0" applyNumberFormat="1" applyFont="1" applyBorder="1"/>
    <xf numFmtId="9" fontId="24" fillId="0" borderId="22" xfId="0" applyNumberFormat="1" applyFont="1" applyBorder="1"/>
    <xf numFmtId="10" fontId="24" fillId="0" borderId="23" xfId="2" applyNumberFormat="1" applyFont="1" applyBorder="1"/>
    <xf numFmtId="10" fontId="24" fillId="0" borderId="24" xfId="2" applyNumberFormat="1" applyFont="1" applyBorder="1"/>
    <xf numFmtId="169" fontId="14" fillId="0" borderId="22" xfId="2" applyNumberFormat="1" applyFont="1" applyBorder="1"/>
    <xf numFmtId="10" fontId="24" fillId="0" borderId="11" xfId="2" applyNumberFormat="1" applyFont="1" applyBorder="1"/>
    <xf numFmtId="10" fontId="24" fillId="0" borderId="0" xfId="2" applyNumberFormat="1" applyFont="1" applyBorder="1"/>
    <xf numFmtId="9" fontId="24" fillId="0" borderId="7" xfId="0" applyNumberFormat="1" applyFont="1" applyBorder="1"/>
    <xf numFmtId="10" fontId="24" fillId="0" borderId="13" xfId="2" applyNumberFormat="1" applyFont="1" applyBorder="1"/>
    <xf numFmtId="10" fontId="24" fillId="0" borderId="14" xfId="2" applyNumberFormat="1" applyFont="1" applyBorder="1"/>
    <xf numFmtId="169" fontId="14" fillId="0" borderId="7" xfId="2" applyNumberFormat="1" applyFont="1" applyBorder="1"/>
    <xf numFmtId="10" fontId="24" fillId="0" borderId="22" xfId="0" applyNumberFormat="1" applyFont="1" applyBorder="1"/>
    <xf numFmtId="10" fontId="24" fillId="0" borderId="7" xfId="0" applyNumberFormat="1" applyFont="1" applyBorder="1"/>
    <xf numFmtId="0" fontId="14" fillId="0" borderId="10" xfId="0" applyFont="1" applyBorder="1" applyAlignment="1">
      <alignment horizontal="left"/>
    </xf>
    <xf numFmtId="0" fontId="14" fillId="0" borderId="52" xfId="0" applyFont="1" applyBorder="1" applyAlignment="1">
      <alignment horizontal="right" wrapText="1"/>
    </xf>
    <xf numFmtId="172" fontId="14" fillId="0" borderId="0" xfId="0" applyNumberFormat="1" applyFont="1"/>
    <xf numFmtId="172" fontId="14" fillId="0" borderId="11" xfId="0" applyNumberFormat="1" applyFont="1" applyBorder="1"/>
    <xf numFmtId="170" fontId="14" fillId="0" borderId="29" xfId="1" applyNumberFormat="1" applyFont="1" applyBorder="1" applyAlignment="1">
      <alignment horizontal="right"/>
    </xf>
    <xf numFmtId="3" fontId="14" fillId="6" borderId="0" xfId="0" applyNumberFormat="1" applyFont="1" applyFill="1" applyAlignment="1">
      <alignment horizontal="right"/>
    </xf>
    <xf numFmtId="0" fontId="14" fillId="0" borderId="29" xfId="0" applyFont="1" applyBorder="1" applyAlignment="1">
      <alignment horizontal="right"/>
    </xf>
    <xf numFmtId="0" fontId="14" fillId="0" borderId="30" xfId="0" applyFont="1" applyBorder="1" applyAlignment="1">
      <alignment horizontal="right"/>
    </xf>
    <xf numFmtId="170" fontId="14" fillId="0" borderId="31" xfId="1" applyNumberFormat="1" applyFont="1" applyBorder="1" applyAlignment="1">
      <alignment horizontal="right"/>
    </xf>
    <xf numFmtId="170" fontId="14" fillId="0" borderId="0" xfId="1" applyNumberFormat="1" applyFont="1" applyBorder="1" applyAlignment="1">
      <alignment horizontal="right"/>
    </xf>
    <xf numFmtId="170" fontId="14" fillId="0" borderId="0" xfId="1" applyNumberFormat="1" applyFont="1" applyAlignment="1">
      <alignment horizontal="right"/>
    </xf>
    <xf numFmtId="170" fontId="14" fillId="17" borderId="0" xfId="1" applyNumberFormat="1" applyFont="1" applyFill="1" applyBorder="1" applyAlignment="1">
      <alignment horizontal="right"/>
    </xf>
    <xf numFmtId="0" fontId="14" fillId="0" borderId="32" xfId="0" applyFont="1" applyBorder="1" applyAlignment="1">
      <alignment horizontal="right"/>
    </xf>
    <xf numFmtId="172" fontId="15" fillId="0" borderId="11" xfId="0" applyNumberFormat="1" applyFont="1" applyBorder="1"/>
    <xf numFmtId="3" fontId="14" fillId="6" borderId="32" xfId="0" applyNumberFormat="1" applyFont="1" applyFill="1" applyBorder="1" applyAlignment="1">
      <alignment horizontal="right"/>
    </xf>
    <xf numFmtId="0" fontId="14" fillId="0" borderId="33" xfId="0" applyFont="1" applyBorder="1"/>
    <xf numFmtId="0" fontId="14" fillId="0" borderId="34" xfId="0" applyFont="1" applyBorder="1"/>
    <xf numFmtId="0" fontId="14" fillId="0" borderId="34" xfId="0" applyFont="1" applyBorder="1" applyAlignment="1">
      <alignment horizontal="right"/>
    </xf>
    <xf numFmtId="3" fontId="14" fillId="6" borderId="34" xfId="0" applyNumberFormat="1" applyFont="1" applyFill="1" applyBorder="1" applyAlignment="1">
      <alignment horizontal="right"/>
    </xf>
    <xf numFmtId="3" fontId="14" fillId="6" borderId="35" xfId="0" applyNumberFormat="1" applyFont="1" applyFill="1" applyBorder="1" applyAlignment="1">
      <alignment horizontal="right"/>
    </xf>
    <xf numFmtId="172" fontId="24" fillId="0" borderId="0" xfId="0" applyNumberFormat="1" applyFont="1" applyAlignment="1">
      <alignment horizontal="left" vertical="center"/>
    </xf>
    <xf numFmtId="0" fontId="23" fillId="16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16" borderId="23" xfId="0" applyFont="1" applyFill="1" applyBorder="1" applyAlignment="1">
      <alignment vertical="center"/>
    </xf>
    <xf numFmtId="0" fontId="23" fillId="16" borderId="9" xfId="0" applyFont="1" applyFill="1" applyBorder="1" applyAlignment="1">
      <alignment vertical="center"/>
    </xf>
    <xf numFmtId="0" fontId="23" fillId="16" borderId="10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4" fillId="0" borderId="0" xfId="0" applyFont="1" applyAlignment="1">
      <alignment horizontal="center"/>
    </xf>
    <xf numFmtId="0" fontId="23" fillId="16" borderId="2" xfId="0" applyFont="1" applyFill="1" applyBorder="1"/>
    <xf numFmtId="0" fontId="26" fillId="16" borderId="15" xfId="0" applyFont="1" applyFill="1" applyBorder="1" applyAlignment="1">
      <alignment horizontal="center"/>
    </xf>
    <xf numFmtId="0" fontId="26" fillId="29" borderId="10" xfId="0" applyFont="1" applyFill="1" applyBorder="1" applyAlignment="1">
      <alignment horizontal="center"/>
    </xf>
    <xf numFmtId="0" fontId="31" fillId="14" borderId="15" xfId="0" applyFont="1" applyFill="1" applyBorder="1" applyAlignment="1">
      <alignment horizontal="center"/>
    </xf>
    <xf numFmtId="10" fontId="24" fillId="5" borderId="15" xfId="0" applyNumberFormat="1" applyFont="1" applyFill="1" applyBorder="1" applyAlignment="1">
      <alignment horizontal="center"/>
    </xf>
    <xf numFmtId="10" fontId="24" fillId="11" borderId="15" xfId="0" applyNumberFormat="1" applyFont="1" applyFill="1" applyBorder="1" applyAlignment="1">
      <alignment horizontal="center"/>
    </xf>
    <xf numFmtId="176" fontId="24" fillId="0" borderId="0" xfId="0" applyNumberFormat="1" applyFont="1" applyAlignment="1">
      <alignment horizontal="center"/>
    </xf>
    <xf numFmtId="3" fontId="24" fillId="8" borderId="7" xfId="0" applyNumberFormat="1" applyFont="1" applyFill="1" applyBorder="1" applyAlignment="1">
      <alignment horizontal="center"/>
    </xf>
    <xf numFmtId="3" fontId="24" fillId="8" borderId="15" xfId="0" applyNumberFormat="1" applyFont="1" applyFill="1" applyBorder="1" applyAlignment="1">
      <alignment horizontal="center"/>
    </xf>
    <xf numFmtId="165" fontId="24" fillId="11" borderId="7" xfId="0" applyNumberFormat="1" applyFont="1" applyFill="1" applyBorder="1" applyAlignment="1">
      <alignment horizontal="center"/>
    </xf>
    <xf numFmtId="165" fontId="24" fillId="11" borderId="15" xfId="0" applyNumberFormat="1" applyFont="1" applyFill="1" applyBorder="1" applyAlignment="1">
      <alignment horizontal="center"/>
    </xf>
    <xf numFmtId="0" fontId="15" fillId="0" borderId="6" xfId="0" applyFont="1" applyBorder="1"/>
    <xf numFmtId="0" fontId="15" fillId="0" borderId="6" xfId="0" applyFont="1" applyBorder="1" applyAlignment="1">
      <alignment horizontal="right"/>
    </xf>
    <xf numFmtId="0" fontId="15" fillId="16" borderId="6" xfId="0" applyFont="1" applyFill="1" applyBorder="1"/>
    <xf numFmtId="0" fontId="15" fillId="16" borderId="6" xfId="0" applyFont="1" applyFill="1" applyBorder="1" applyAlignment="1">
      <alignment horizontal="right"/>
    </xf>
    <xf numFmtId="10" fontId="26" fillId="16" borderId="6" xfId="0" applyNumberFormat="1" applyFont="1" applyFill="1" applyBorder="1" applyAlignment="1">
      <alignment horizontal="right"/>
    </xf>
    <xf numFmtId="0" fontId="26" fillId="0" borderId="6" xfId="0" applyFont="1" applyBorder="1" applyAlignment="1">
      <alignment horizontal="right"/>
    </xf>
    <xf numFmtId="0" fontId="15" fillId="0" borderId="6" xfId="0" applyFont="1" applyBorder="1" applyAlignment="1">
      <alignment horizontal="right" wrapText="1"/>
    </xf>
    <xf numFmtId="172" fontId="15" fillId="0" borderId="0" xfId="0" applyNumberFormat="1" applyFont="1"/>
    <xf numFmtId="10" fontId="15" fillId="0" borderId="0" xfId="2" applyNumberFormat="1" applyFont="1"/>
    <xf numFmtId="0" fontId="15" fillId="16" borderId="24" xfId="0" applyFont="1" applyFill="1" applyBorder="1"/>
    <xf numFmtId="0" fontId="15" fillId="16" borderId="37" xfId="0" applyFont="1" applyFill="1" applyBorder="1"/>
    <xf numFmtId="0" fontId="26" fillId="16" borderId="24" xfId="0" applyFont="1" applyFill="1" applyBorder="1" applyAlignment="1">
      <alignment vertical="center"/>
    </xf>
    <xf numFmtId="0" fontId="26" fillId="16" borderId="27" xfId="0" applyFont="1" applyFill="1" applyBorder="1" applyAlignment="1">
      <alignment vertical="center"/>
    </xf>
    <xf numFmtId="0" fontId="26" fillId="16" borderId="25" xfId="0" applyFont="1" applyFill="1" applyBorder="1" applyAlignment="1">
      <alignment vertical="center"/>
    </xf>
    <xf numFmtId="3" fontId="14" fillId="0" borderId="0" xfId="0" applyNumberFormat="1" applyFont="1" applyAlignment="1">
      <alignment horizontal="right"/>
    </xf>
    <xf numFmtId="172" fontId="14" fillId="0" borderId="0" xfId="0" applyNumberFormat="1" applyFont="1" applyAlignment="1">
      <alignment horizontal="right"/>
    </xf>
    <xf numFmtId="0" fontId="30" fillId="16" borderId="27" xfId="0" applyFont="1" applyFill="1" applyBorder="1" applyAlignment="1">
      <alignment horizontal="left" vertical="top" wrapText="1"/>
    </xf>
    <xf numFmtId="1" fontId="30" fillId="16" borderId="27" xfId="0" applyNumberFormat="1" applyFont="1" applyFill="1" applyBorder="1" applyAlignment="1">
      <alignment horizontal="center" vertical="top" wrapText="1"/>
    </xf>
    <xf numFmtId="0" fontId="30" fillId="16" borderId="27" xfId="0" applyFont="1" applyFill="1" applyBorder="1" applyAlignment="1">
      <alignment horizontal="center" vertical="top" wrapText="1"/>
    </xf>
    <xf numFmtId="0" fontId="19" fillId="16" borderId="1" xfId="0" applyFont="1" applyFill="1" applyBorder="1" applyAlignment="1">
      <alignment wrapText="1"/>
    </xf>
    <xf numFmtId="0" fontId="19" fillId="16" borderId="4" xfId="0" applyFont="1" applyFill="1" applyBorder="1" applyAlignment="1">
      <alignment wrapText="1"/>
    </xf>
    <xf numFmtId="0" fontId="19" fillId="16" borderId="3" xfId="0" applyFont="1" applyFill="1" applyBorder="1" applyAlignment="1">
      <alignment wrapText="1"/>
    </xf>
    <xf numFmtId="4" fontId="24" fillId="30" borderId="15" xfId="0" applyNumberFormat="1" applyFont="1" applyFill="1" applyBorder="1" applyAlignment="1">
      <alignment horizontal="center"/>
    </xf>
    <xf numFmtId="4" fontId="24" fillId="31" borderId="15" xfId="0" applyNumberFormat="1" applyFont="1" applyFill="1" applyBorder="1" applyAlignment="1">
      <alignment horizontal="center"/>
    </xf>
    <xf numFmtId="0" fontId="24" fillId="0" borderId="6" xfId="0" applyFont="1" applyBorder="1" applyAlignment="1">
      <alignment horizontal="center"/>
    </xf>
    <xf numFmtId="10" fontId="24" fillId="0" borderId="10" xfId="0" applyNumberFormat="1" applyFont="1" applyBorder="1" applyAlignment="1">
      <alignment horizontal="center"/>
    </xf>
    <xf numFmtId="0" fontId="7" fillId="28" borderId="0" xfId="0" applyFont="1" applyFill="1"/>
    <xf numFmtId="0" fontId="7" fillId="9" borderId="0" xfId="0" applyFont="1" applyFill="1"/>
    <xf numFmtId="0" fontId="8" fillId="16" borderId="2" xfId="0" applyFont="1" applyFill="1" applyBorder="1"/>
    <xf numFmtId="0" fontId="8" fillId="16" borderId="1" xfId="0" applyFont="1" applyFill="1" applyBorder="1"/>
    <xf numFmtId="0" fontId="7" fillId="3" borderId="1" xfId="0" applyFont="1" applyFill="1" applyBorder="1"/>
    <xf numFmtId="3" fontId="7" fillId="3" borderId="1" xfId="0" applyNumberFormat="1" applyFont="1" applyFill="1" applyBorder="1"/>
    <xf numFmtId="3" fontId="8" fillId="16" borderId="1" xfId="0" applyNumberFormat="1" applyFont="1" applyFill="1" applyBorder="1"/>
    <xf numFmtId="3" fontId="7" fillId="2" borderId="1" xfId="0" applyNumberFormat="1" applyFont="1" applyFill="1" applyBorder="1"/>
    <xf numFmtId="1" fontId="7" fillId="0" borderId="1" xfId="0" applyNumberFormat="1" applyFont="1" applyBorder="1"/>
    <xf numFmtId="3" fontId="7" fillId="8" borderId="1" xfId="0" applyNumberFormat="1" applyFont="1" applyFill="1" applyBorder="1"/>
    <xf numFmtId="3" fontId="7" fillId="7" borderId="1" xfId="0" applyNumberFormat="1" applyFont="1" applyFill="1" applyBorder="1"/>
    <xf numFmtId="3" fontId="7" fillId="4" borderId="1" xfId="0" applyNumberFormat="1" applyFont="1" applyFill="1" applyBorder="1"/>
    <xf numFmtId="3" fontId="7" fillId="7" borderId="3" xfId="0" applyNumberFormat="1" applyFont="1" applyFill="1" applyBorder="1"/>
    <xf numFmtId="3" fontId="7" fillId="4" borderId="3" xfId="0" applyNumberFormat="1" applyFont="1" applyFill="1" applyBorder="1"/>
    <xf numFmtId="0" fontId="8" fillId="0" borderId="1" xfId="0" applyFont="1" applyBorder="1"/>
    <xf numFmtId="3" fontId="8" fillId="0" borderId="1" xfId="0" applyNumberFormat="1" applyFont="1" applyBorder="1"/>
    <xf numFmtId="3" fontId="7" fillId="0" borderId="1" xfId="0" applyNumberFormat="1" applyFont="1" applyBorder="1"/>
    <xf numFmtId="3" fontId="7" fillId="0" borderId="0" xfId="0" applyNumberFormat="1" applyFont="1"/>
    <xf numFmtId="10" fontId="7" fillId="0" borderId="0" xfId="2" applyNumberFormat="1" applyFont="1"/>
    <xf numFmtId="0" fontId="8" fillId="16" borderId="24" xfId="0" applyFont="1" applyFill="1" applyBorder="1"/>
    <xf numFmtId="0" fontId="8" fillId="16" borderId="25" xfId="0" applyFont="1" applyFill="1" applyBorder="1"/>
    <xf numFmtId="0" fontId="7" fillId="0" borderId="29" xfId="0" applyFont="1" applyBorder="1"/>
    <xf numFmtId="0" fontId="7" fillId="0" borderId="30" xfId="0" applyFont="1" applyBorder="1"/>
    <xf numFmtId="0" fontId="7" fillId="0" borderId="12" xfId="0" applyFont="1" applyBorder="1"/>
    <xf numFmtId="168" fontId="7" fillId="0" borderId="0" xfId="0" applyNumberFormat="1" applyFont="1"/>
    <xf numFmtId="168" fontId="7" fillId="0" borderId="32" xfId="0" applyNumberFormat="1" applyFont="1" applyBorder="1"/>
    <xf numFmtId="0" fontId="7" fillId="0" borderId="32" xfId="0" applyFont="1" applyBorder="1"/>
    <xf numFmtId="168" fontId="7" fillId="6" borderId="0" xfId="0" applyNumberFormat="1" applyFont="1" applyFill="1"/>
    <xf numFmtId="168" fontId="7" fillId="0" borderId="12" xfId="0" applyNumberFormat="1" applyFont="1" applyBorder="1"/>
    <xf numFmtId="169" fontId="7" fillId="0" borderId="0" xfId="2" applyNumberFormat="1" applyFont="1" applyBorder="1"/>
    <xf numFmtId="169" fontId="7" fillId="0" borderId="32" xfId="2" applyNumberFormat="1" applyFont="1" applyBorder="1"/>
    <xf numFmtId="169" fontId="7" fillId="0" borderId="0" xfId="2" applyNumberFormat="1" applyFont="1" applyFill="1" applyBorder="1"/>
    <xf numFmtId="169" fontId="7" fillId="0" borderId="12" xfId="2" applyNumberFormat="1" applyFont="1" applyFill="1" applyBorder="1"/>
    <xf numFmtId="0" fontId="7" fillId="6" borderId="0" xfId="0" applyFont="1" applyFill="1"/>
    <xf numFmtId="0" fontId="7" fillId="6" borderId="12" xfId="0" applyFont="1" applyFill="1" applyBorder="1"/>
    <xf numFmtId="0" fontId="7" fillId="0" borderId="34" xfId="0" applyFont="1" applyBorder="1"/>
    <xf numFmtId="0" fontId="7" fillId="0" borderId="35" xfId="0" applyFont="1" applyBorder="1"/>
    <xf numFmtId="0" fontId="7" fillId="6" borderId="14" xfId="0" applyFont="1" applyFill="1" applyBorder="1"/>
    <xf numFmtId="0" fontId="7" fillId="6" borderId="15" xfId="0" applyFont="1" applyFill="1" applyBorder="1"/>
    <xf numFmtId="0" fontId="4" fillId="0" borderId="0" xfId="0" applyFont="1" applyAlignment="1">
      <alignment wrapText="1"/>
    </xf>
    <xf numFmtId="0" fontId="33" fillId="0" borderId="0" xfId="0" applyFont="1" applyAlignment="1">
      <alignment horizontal="left"/>
    </xf>
    <xf numFmtId="0" fontId="33" fillId="0" borderId="0" xfId="0" applyFont="1"/>
    <xf numFmtId="167" fontId="14" fillId="5" borderId="0" xfId="0" applyNumberFormat="1" applyFont="1" applyFill="1"/>
    <xf numFmtId="0" fontId="35" fillId="0" borderId="0" xfId="0" applyFont="1"/>
    <xf numFmtId="0" fontId="38" fillId="32" borderId="0" xfId="0" applyFont="1" applyFill="1" applyAlignment="1">
      <alignment vertical="center"/>
    </xf>
    <xf numFmtId="0" fontId="35" fillId="5" borderId="0" xfId="0" applyFont="1" applyFill="1"/>
    <xf numFmtId="165" fontId="43" fillId="5" borderId="0" xfId="0" applyNumberFormat="1" applyFont="1" applyFill="1"/>
    <xf numFmtId="0" fontId="45" fillId="5" borderId="58" xfId="0" applyFont="1" applyFill="1" applyBorder="1" applyAlignment="1">
      <alignment vertical="top"/>
    </xf>
    <xf numFmtId="0" fontId="45" fillId="5" borderId="59" xfId="0" applyFont="1" applyFill="1" applyBorder="1" applyAlignment="1">
      <alignment vertical="top"/>
    </xf>
    <xf numFmtId="0" fontId="35" fillId="5" borderId="54" xfId="0" applyFont="1" applyFill="1" applyBorder="1"/>
    <xf numFmtId="0" fontId="35" fillId="5" borderId="56" xfId="0" applyFont="1" applyFill="1" applyBorder="1"/>
    <xf numFmtId="0" fontId="37" fillId="32" borderId="0" xfId="0" applyFont="1" applyFill="1" applyAlignment="1">
      <alignment vertical="center"/>
    </xf>
    <xf numFmtId="0" fontId="34" fillId="8" borderId="0" xfId="0" applyFont="1" applyFill="1"/>
    <xf numFmtId="0" fontId="35" fillId="5" borderId="60" xfId="0" applyFont="1" applyFill="1" applyBorder="1"/>
    <xf numFmtId="0" fontId="45" fillId="5" borderId="61" xfId="0" applyFont="1" applyFill="1" applyBorder="1" applyAlignment="1">
      <alignment vertical="top"/>
    </xf>
    <xf numFmtId="0" fontId="35" fillId="5" borderId="58" xfId="0" applyFont="1" applyFill="1" applyBorder="1"/>
    <xf numFmtId="165" fontId="36" fillId="5" borderId="0" xfId="0" applyNumberFormat="1" applyFont="1" applyFill="1"/>
    <xf numFmtId="165" fontId="36" fillId="5" borderId="57" xfId="0" applyNumberFormat="1" applyFont="1" applyFill="1" applyBorder="1"/>
    <xf numFmtId="0" fontId="46" fillId="32" borderId="0" xfId="0" applyFont="1" applyFill="1"/>
    <xf numFmtId="0" fontId="48" fillId="5" borderId="64" xfId="0" applyFont="1" applyFill="1" applyBorder="1"/>
    <xf numFmtId="0" fontId="48" fillId="5" borderId="68" xfId="0" applyFont="1" applyFill="1" applyBorder="1"/>
    <xf numFmtId="0" fontId="48" fillId="5" borderId="66" xfId="0" applyFont="1" applyFill="1" applyBorder="1"/>
    <xf numFmtId="0" fontId="49" fillId="32" borderId="0" xfId="0" applyFont="1" applyFill="1"/>
    <xf numFmtId="0" fontId="24" fillId="0" borderId="0" xfId="0" applyFont="1" applyAlignment="1">
      <alignment wrapText="1"/>
    </xf>
    <xf numFmtId="10" fontId="24" fillId="0" borderId="0" xfId="0" applyNumberFormat="1" applyFont="1"/>
    <xf numFmtId="0" fontId="24" fillId="20" borderId="69" xfId="0" applyFont="1" applyFill="1" applyBorder="1" applyAlignment="1">
      <alignment wrapText="1"/>
    </xf>
    <xf numFmtId="10" fontId="24" fillId="21" borderId="70" xfId="0" applyNumberFormat="1" applyFont="1" applyFill="1" applyBorder="1"/>
    <xf numFmtId="0" fontId="24" fillId="20" borderId="70" xfId="0" applyFont="1" applyFill="1" applyBorder="1" applyAlignment="1">
      <alignment wrapText="1"/>
    </xf>
    <xf numFmtId="165" fontId="14" fillId="0" borderId="0" xfId="0" applyNumberFormat="1" applyFont="1"/>
    <xf numFmtId="4" fontId="33" fillId="22" borderId="15" xfId="0" applyNumberFormat="1" applyFont="1" applyFill="1" applyBorder="1" applyAlignment="1">
      <alignment horizontal="center"/>
    </xf>
    <xf numFmtId="4" fontId="33" fillId="31" borderId="15" xfId="0" applyNumberFormat="1" applyFont="1" applyFill="1" applyBorder="1" applyAlignment="1">
      <alignment horizontal="center"/>
    </xf>
    <xf numFmtId="0" fontId="32" fillId="0" borderId="7" xfId="0" applyFont="1" applyBorder="1"/>
    <xf numFmtId="0" fontId="32" fillId="16" borderId="15" xfId="0" applyFont="1" applyFill="1" applyBorder="1" applyAlignment="1">
      <alignment horizontal="center"/>
    </xf>
    <xf numFmtId="0" fontId="32" fillId="16" borderId="6" xfId="0" applyFont="1" applyFill="1" applyBorder="1"/>
    <xf numFmtId="178" fontId="7" fillId="0" borderId="0" xfId="0" applyNumberFormat="1" applyFont="1"/>
    <xf numFmtId="0" fontId="14" fillId="0" borderId="28" xfId="0" applyFont="1" applyBorder="1"/>
    <xf numFmtId="0" fontId="14" fillId="9" borderId="28" xfId="0" applyFont="1" applyFill="1" applyBorder="1" applyAlignment="1">
      <alignment wrapText="1"/>
    </xf>
    <xf numFmtId="167" fontId="24" fillId="3" borderId="28" xfId="0" applyNumberFormat="1" applyFont="1" applyFill="1" applyBorder="1" applyAlignment="1">
      <alignment wrapText="1"/>
    </xf>
    <xf numFmtId="9" fontId="14" fillId="3" borderId="0" xfId="0" applyNumberFormat="1" applyFont="1" applyFill="1" applyAlignment="1">
      <alignment horizontal="center" vertical="center"/>
    </xf>
    <xf numFmtId="169" fontId="11" fillId="9" borderId="1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7" fontId="24" fillId="0" borderId="28" xfId="0" applyNumberFormat="1" applyFont="1" applyBorder="1"/>
    <xf numFmtId="0" fontId="40" fillId="0" borderId="0" xfId="0" applyFont="1"/>
    <xf numFmtId="10" fontId="54" fillId="0" borderId="0" xfId="0" applyNumberFormat="1" applyFont="1"/>
    <xf numFmtId="9" fontId="0" fillId="0" borderId="0" xfId="0" applyNumberFormat="1"/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9" fontId="56" fillId="0" borderId="0" xfId="0" applyNumberFormat="1" applyFont="1" applyAlignment="1">
      <alignment horizontal="center" vertical="center"/>
    </xf>
    <xf numFmtId="164" fontId="56" fillId="0" borderId="0" xfId="0" applyNumberFormat="1" applyFont="1" applyAlignment="1">
      <alignment horizontal="center" vertical="center"/>
    </xf>
    <xf numFmtId="10" fontId="56" fillId="0" borderId="0" xfId="0" applyNumberFormat="1" applyFont="1" applyAlignment="1">
      <alignment horizontal="center" vertical="center"/>
    </xf>
    <xf numFmtId="0" fontId="15" fillId="16" borderId="71" xfId="0" applyFont="1" applyFill="1" applyBorder="1"/>
    <xf numFmtId="0" fontId="57" fillId="0" borderId="0" xfId="0" applyFont="1"/>
    <xf numFmtId="0" fontId="32" fillId="16" borderId="8" xfId="0" applyFont="1" applyFill="1" applyBorder="1" applyAlignment="1">
      <alignment horizontal="center"/>
    </xf>
    <xf numFmtId="0" fontId="32" fillId="16" borderId="9" xfId="0" applyFont="1" applyFill="1" applyBorder="1" applyAlignment="1">
      <alignment horizontal="center"/>
    </xf>
    <xf numFmtId="0" fontId="26" fillId="16" borderId="1" xfId="0" applyFont="1" applyFill="1" applyBorder="1" applyAlignment="1">
      <alignment horizontal="center"/>
    </xf>
    <xf numFmtId="0" fontId="50" fillId="32" borderId="0" xfId="0" applyFont="1" applyFill="1" applyAlignment="1">
      <alignment horizontal="left" vertical="top" wrapText="1"/>
    </xf>
    <xf numFmtId="0" fontId="53" fillId="32" borderId="0" xfId="0" applyFont="1" applyFill="1" applyAlignment="1">
      <alignment horizontal="left" vertical="center" wrapText="1"/>
    </xf>
    <xf numFmtId="0" fontId="51" fillId="32" borderId="0" xfId="0" applyFont="1" applyFill="1" applyAlignment="1">
      <alignment horizontal="left" vertical="center" wrapText="1"/>
    </xf>
    <xf numFmtId="0" fontId="34" fillId="8" borderId="61" xfId="0" applyFont="1" applyFill="1" applyBorder="1" applyAlignment="1">
      <alignment horizontal="right" wrapText="1"/>
    </xf>
    <xf numFmtId="0" fontId="34" fillId="8" borderId="61" xfId="0" applyFont="1" applyFill="1" applyBorder="1" applyAlignment="1">
      <alignment horizontal="right"/>
    </xf>
    <xf numFmtId="0" fontId="35" fillId="5" borderId="10" xfId="0" applyFont="1" applyFill="1" applyBorder="1" applyAlignment="1">
      <alignment horizontal="left"/>
    </xf>
    <xf numFmtId="0" fontId="35" fillId="5" borderId="6" xfId="0" applyFont="1" applyFill="1" applyBorder="1" applyAlignment="1">
      <alignment horizontal="left"/>
    </xf>
    <xf numFmtId="0" fontId="48" fillId="5" borderId="65" xfId="3" applyFont="1" applyFill="1" applyBorder="1" applyAlignment="1">
      <alignment horizontal="center"/>
    </xf>
    <xf numFmtId="0" fontId="48" fillId="5" borderId="9" xfId="3" applyFont="1" applyFill="1" applyBorder="1" applyAlignment="1">
      <alignment horizontal="center"/>
    </xf>
    <xf numFmtId="0" fontId="48" fillId="5" borderId="62" xfId="3" applyFont="1" applyFill="1" applyBorder="1" applyAlignment="1">
      <alignment horizontal="center"/>
    </xf>
    <xf numFmtId="0" fontId="48" fillId="5" borderId="63" xfId="3" applyFont="1" applyFill="1" applyBorder="1" applyAlignment="1">
      <alignment horizontal="center"/>
    </xf>
    <xf numFmtId="0" fontId="49" fillId="32" borderId="0" xfId="0" applyFont="1" applyFill="1" applyAlignment="1">
      <alignment horizontal="center"/>
    </xf>
    <xf numFmtId="0" fontId="48" fillId="5" borderId="67" xfId="3" applyFont="1" applyFill="1" applyBorder="1" applyAlignment="1">
      <alignment horizontal="center"/>
    </xf>
    <xf numFmtId="0" fontId="48" fillId="5" borderId="24" xfId="3" applyFont="1" applyFill="1" applyBorder="1" applyAlignment="1">
      <alignment horizontal="center"/>
    </xf>
    <xf numFmtId="0" fontId="35" fillId="5" borderId="0" xfId="0" applyFont="1" applyFill="1" applyAlignment="1">
      <alignment horizontal="center"/>
    </xf>
    <xf numFmtId="0" fontId="47" fillId="5" borderId="0" xfId="3" applyFont="1" applyFill="1" applyAlignment="1">
      <alignment horizontal="center"/>
    </xf>
    <xf numFmtId="0" fontId="39" fillId="5" borderId="60" xfId="0" applyFont="1" applyFill="1" applyBorder="1" applyAlignment="1">
      <alignment horizontal="left" vertical="center" wrapText="1"/>
    </xf>
    <xf numFmtId="0" fontId="34" fillId="5" borderId="55" xfId="0" applyFont="1" applyFill="1" applyBorder="1" applyAlignment="1">
      <alignment horizontal="left" vertical="center" wrapText="1"/>
    </xf>
    <xf numFmtId="0" fontId="34" fillId="8" borderId="61" xfId="0" applyFont="1" applyFill="1" applyBorder="1" applyAlignment="1">
      <alignment horizontal="left"/>
    </xf>
    <xf numFmtId="0" fontId="34" fillId="8" borderId="0" xfId="0" applyFont="1" applyFill="1"/>
    <xf numFmtId="0" fontId="34" fillId="8" borderId="0" xfId="0" applyFont="1" applyFill="1" applyAlignment="1">
      <alignment horizontal="left"/>
    </xf>
    <xf numFmtId="0" fontId="40" fillId="5" borderId="60" xfId="0" applyFont="1" applyFill="1" applyBorder="1" applyAlignment="1">
      <alignment horizontal="left" vertical="center" wrapText="1"/>
    </xf>
    <xf numFmtId="0" fontId="35" fillId="5" borderId="55" xfId="0" applyFont="1" applyFill="1" applyBorder="1" applyAlignment="1">
      <alignment horizontal="left" vertical="center" wrapText="1"/>
    </xf>
    <xf numFmtId="9" fontId="44" fillId="5" borderId="0" xfId="0" applyNumberFormat="1" applyFont="1" applyFill="1" applyAlignment="1">
      <alignment horizontal="left"/>
    </xf>
    <xf numFmtId="9" fontId="44" fillId="5" borderId="57" xfId="0" applyNumberFormat="1" applyFont="1" applyFill="1" applyBorder="1" applyAlignment="1">
      <alignment horizontal="left"/>
    </xf>
    <xf numFmtId="0" fontId="45" fillId="5" borderId="61" xfId="0" applyFont="1" applyFill="1" applyBorder="1" applyAlignment="1">
      <alignment horizontal="left" vertical="top" wrapText="1"/>
    </xf>
    <xf numFmtId="0" fontId="45" fillId="5" borderId="59" xfId="0" applyFont="1" applyFill="1" applyBorder="1" applyAlignment="1">
      <alignment horizontal="left" vertical="top" wrapText="1"/>
    </xf>
    <xf numFmtId="0" fontId="34" fillId="5" borderId="60" xfId="0" applyFont="1" applyFill="1" applyBorder="1" applyAlignment="1">
      <alignment horizontal="left" vertical="center" wrapText="1"/>
    </xf>
    <xf numFmtId="9" fontId="42" fillId="5" borderId="0" xfId="0" applyNumberFormat="1" applyFont="1" applyFill="1" applyAlignment="1">
      <alignment horizontal="left"/>
    </xf>
    <xf numFmtId="0" fontId="15" fillId="0" borderId="5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6" fillId="16" borderId="8" xfId="0" applyFont="1" applyFill="1" applyBorder="1" applyAlignment="1">
      <alignment horizontal="center"/>
    </xf>
    <xf numFmtId="0" fontId="26" fillId="16" borderId="9" xfId="0" applyFont="1" applyFill="1" applyBorder="1" applyAlignment="1">
      <alignment horizontal="center"/>
    </xf>
    <xf numFmtId="0" fontId="26" fillId="16" borderId="10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16" borderId="21" xfId="0" applyFont="1" applyFill="1" applyBorder="1" applyAlignment="1">
      <alignment horizontal="center" vertical="center" wrapText="1"/>
    </xf>
    <xf numFmtId="0" fontId="15" fillId="16" borderId="7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16" borderId="21" xfId="0" applyFont="1" applyFill="1" applyBorder="1" applyAlignment="1">
      <alignment horizontal="left" vertical="center"/>
    </xf>
    <xf numFmtId="0" fontId="15" fillId="16" borderId="7" xfId="0" applyFont="1" applyFill="1" applyBorder="1" applyAlignment="1">
      <alignment horizontal="left" vertical="center"/>
    </xf>
    <xf numFmtId="0" fontId="15" fillId="16" borderId="6" xfId="0" applyFont="1" applyFill="1" applyBorder="1" applyAlignment="1">
      <alignment horizontal="center"/>
    </xf>
    <xf numFmtId="0" fontId="15" fillId="16" borderId="21" xfId="0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4" fillId="33" borderId="5" xfId="0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27" fillId="16" borderId="38" xfId="0" applyFont="1" applyFill="1" applyBorder="1" applyAlignment="1">
      <alignment horizontal="left"/>
    </xf>
    <xf numFmtId="0" fontId="27" fillId="16" borderId="0" xfId="0" applyFont="1" applyFill="1" applyAlignment="1">
      <alignment horizontal="left"/>
    </xf>
    <xf numFmtId="0" fontId="27" fillId="16" borderId="28" xfId="0" applyFont="1" applyFill="1" applyBorder="1" applyAlignment="1">
      <alignment horizontal="left"/>
    </xf>
    <xf numFmtId="0" fontId="14" fillId="2" borderId="0" xfId="0" applyFont="1" applyFill="1" applyAlignment="1">
      <alignment horizontal="center"/>
    </xf>
    <xf numFmtId="0" fontId="15" fillId="2" borderId="34" xfId="0" applyFont="1" applyFill="1" applyBorder="1" applyAlignment="1">
      <alignment horizontal="center"/>
    </xf>
    <xf numFmtId="0" fontId="25" fillId="0" borderId="0" xfId="0" applyFont="1" applyAlignment="1">
      <alignment horizontal="center" wrapText="1"/>
    </xf>
    <xf numFmtId="0" fontId="14" fillId="2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14" fillId="16" borderId="2" xfId="0" applyFont="1" applyFill="1" applyBorder="1" applyAlignment="1">
      <alignment horizontal="center"/>
    </xf>
    <xf numFmtId="0" fontId="14" fillId="16" borderId="51" xfId="0" applyFont="1" applyFill="1" applyBorder="1" applyAlignment="1">
      <alignment horizontal="center"/>
    </xf>
    <xf numFmtId="0" fontId="14" fillId="5" borderId="29" xfId="0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29" xfId="0" applyFont="1" applyBorder="1" applyAlignment="1">
      <alignment horizontal="center" vertical="center" wrapText="1"/>
    </xf>
    <xf numFmtId="0" fontId="14" fillId="22" borderId="0" xfId="0" applyFont="1" applyFill="1" applyAlignment="1">
      <alignment horizontal="center" vertical="center" wrapText="1"/>
    </xf>
    <xf numFmtId="0" fontId="15" fillId="2" borderId="34" xfId="0" applyFont="1" applyFill="1" applyBorder="1" applyAlignment="1">
      <alignment horizontal="center" wrapText="1"/>
    </xf>
    <xf numFmtId="0" fontId="15" fillId="0" borderId="0" xfId="0" applyFont="1"/>
    <xf numFmtId="0" fontId="14" fillId="16" borderId="2" xfId="0" applyFont="1" applyFill="1" applyBorder="1" applyAlignment="1">
      <alignment horizontal="center" wrapText="1"/>
    </xf>
    <xf numFmtId="0" fontId="14" fillId="16" borderId="51" xfId="0" applyFont="1" applyFill="1" applyBorder="1" applyAlignment="1">
      <alignment horizontal="center" wrapText="1"/>
    </xf>
    <xf numFmtId="0" fontId="14" fillId="19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9" fillId="2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left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Medium9"/>
  <colors>
    <mruColors>
      <color rgb="FFFC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Fertility Rates from 2005 to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'M1 Population'!$E$14</c:f>
              <c:strCache>
                <c:ptCount val="1"/>
                <c:pt idx="0">
                  <c:v>15 - 19 Years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Population'!$F$13:$Z$13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Population'!$F$14:$Z$14</c:f>
              <c:numCache>
                <c:formatCode>General</c:formatCode>
                <c:ptCount val="21"/>
                <c:pt idx="0">
                  <c:v>7.2</c:v>
                </c:pt>
                <c:pt idx="1">
                  <c:v>6.6</c:v>
                </c:pt>
                <c:pt idx="2">
                  <c:v>6.1</c:v>
                </c:pt>
                <c:pt idx="3">
                  <c:v>6.1</c:v>
                </c:pt>
                <c:pt idx="4">
                  <c:v>5</c:v>
                </c:pt>
                <c:pt idx="5">
                  <c:v>4.8</c:v>
                </c:pt>
                <c:pt idx="6">
                  <c:v>4.7</c:v>
                </c:pt>
                <c:pt idx="7">
                  <c:v>4.3</c:v>
                </c:pt>
                <c:pt idx="8">
                  <c:v>3.8</c:v>
                </c:pt>
                <c:pt idx="9">
                  <c:v>3.3</c:v>
                </c:pt>
                <c:pt idx="10">
                  <c:v>2.7</c:v>
                </c:pt>
                <c:pt idx="11">
                  <c:v>2.7</c:v>
                </c:pt>
                <c:pt idx="12">
                  <c:v>2.6</c:v>
                </c:pt>
                <c:pt idx="13">
                  <c:v>2.5</c:v>
                </c:pt>
                <c:pt idx="14">
                  <c:v>2.5</c:v>
                </c:pt>
                <c:pt idx="15">
                  <c:v>2.2999999999999998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2.2999999999999998</c:v>
                </c:pt>
                <c:pt idx="2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5B-4BC9-8311-76F985A7D9E2}"/>
            </c:ext>
          </c:extLst>
        </c:ser>
        <c:ser>
          <c:idx val="1"/>
          <c:order val="1"/>
          <c:tx>
            <c:strRef>
              <c:f>'M1 Population'!$E$15</c:f>
              <c:strCache>
                <c:ptCount val="1"/>
                <c:pt idx="0">
                  <c:v>20 - 24 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Population'!$F$13:$Z$13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Population'!$F$15:$Z$15</c:f>
              <c:numCache>
                <c:formatCode>General</c:formatCode>
                <c:ptCount val="21"/>
                <c:pt idx="0">
                  <c:v>32.5</c:v>
                </c:pt>
                <c:pt idx="1">
                  <c:v>30.6</c:v>
                </c:pt>
                <c:pt idx="2">
                  <c:v>31.2</c:v>
                </c:pt>
                <c:pt idx="3">
                  <c:v>29.1</c:v>
                </c:pt>
                <c:pt idx="4">
                  <c:v>25.4</c:v>
                </c:pt>
                <c:pt idx="5">
                  <c:v>23.3</c:v>
                </c:pt>
                <c:pt idx="6">
                  <c:v>22.4</c:v>
                </c:pt>
                <c:pt idx="7">
                  <c:v>22.2</c:v>
                </c:pt>
                <c:pt idx="8">
                  <c:v>19.7</c:v>
                </c:pt>
                <c:pt idx="9">
                  <c:v>19.5</c:v>
                </c:pt>
                <c:pt idx="10">
                  <c:v>18.7</c:v>
                </c:pt>
                <c:pt idx="11">
                  <c:v>17</c:v>
                </c:pt>
                <c:pt idx="12">
                  <c:v>15.1</c:v>
                </c:pt>
                <c:pt idx="13">
                  <c:v>14.4</c:v>
                </c:pt>
                <c:pt idx="14">
                  <c:v>12.7</c:v>
                </c:pt>
                <c:pt idx="15">
                  <c:v>12.7</c:v>
                </c:pt>
                <c:pt idx="16">
                  <c:v>11.7</c:v>
                </c:pt>
                <c:pt idx="17">
                  <c:v>11.2</c:v>
                </c:pt>
                <c:pt idx="18">
                  <c:v>10.6</c:v>
                </c:pt>
                <c:pt idx="19">
                  <c:v>9.8000000000000007</c:v>
                </c:pt>
                <c:pt idx="20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5B-4BC9-8311-76F985A7D9E2}"/>
            </c:ext>
          </c:extLst>
        </c:ser>
        <c:ser>
          <c:idx val="2"/>
          <c:order val="2"/>
          <c:tx>
            <c:strRef>
              <c:f>'M1 Population'!$E$16</c:f>
              <c:strCache>
                <c:ptCount val="1"/>
                <c:pt idx="0">
                  <c:v>25 - 29 Years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Population'!$F$13:$Z$13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Population'!$F$16:$Z$16</c:f>
              <c:numCache>
                <c:formatCode>General</c:formatCode>
                <c:ptCount val="21"/>
                <c:pt idx="0">
                  <c:v>80.7</c:v>
                </c:pt>
                <c:pt idx="1">
                  <c:v>79.599999999999994</c:v>
                </c:pt>
                <c:pt idx="2">
                  <c:v>78.7</c:v>
                </c:pt>
                <c:pt idx="3">
                  <c:v>78.900000000000006</c:v>
                </c:pt>
                <c:pt idx="4">
                  <c:v>74.2</c:v>
                </c:pt>
                <c:pt idx="5">
                  <c:v>68.099999999999994</c:v>
                </c:pt>
                <c:pt idx="6">
                  <c:v>73.400000000000006</c:v>
                </c:pt>
                <c:pt idx="7">
                  <c:v>76.7</c:v>
                </c:pt>
                <c:pt idx="8">
                  <c:v>70.5</c:v>
                </c:pt>
                <c:pt idx="9">
                  <c:v>71.099999999999994</c:v>
                </c:pt>
                <c:pt idx="10">
                  <c:v>68.7</c:v>
                </c:pt>
                <c:pt idx="11">
                  <c:v>65.8</c:v>
                </c:pt>
                <c:pt idx="12">
                  <c:v>62.2</c:v>
                </c:pt>
                <c:pt idx="13">
                  <c:v>60.6</c:v>
                </c:pt>
                <c:pt idx="14">
                  <c:v>59.4</c:v>
                </c:pt>
                <c:pt idx="15">
                  <c:v>54.6</c:v>
                </c:pt>
                <c:pt idx="16">
                  <c:v>53.4</c:v>
                </c:pt>
                <c:pt idx="17">
                  <c:v>48.8</c:v>
                </c:pt>
                <c:pt idx="18">
                  <c:v>43.7</c:v>
                </c:pt>
                <c:pt idx="19">
                  <c:v>42.6</c:v>
                </c:pt>
                <c:pt idx="20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5B-4BC9-8311-76F985A7D9E2}"/>
            </c:ext>
          </c:extLst>
        </c:ser>
        <c:ser>
          <c:idx val="3"/>
          <c:order val="3"/>
          <c:tx>
            <c:strRef>
              <c:f>'M1 Population'!$E$17</c:f>
              <c:strCache>
                <c:ptCount val="1"/>
                <c:pt idx="0">
                  <c:v>30 - 34 Years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Population'!$F$13:$Z$13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Population'!$F$17:$Z$17</c:f>
              <c:numCache>
                <c:formatCode>General</c:formatCode>
                <c:ptCount val="21"/>
                <c:pt idx="0">
                  <c:v>89.2</c:v>
                </c:pt>
                <c:pt idx="1">
                  <c:v>93.1</c:v>
                </c:pt>
                <c:pt idx="2">
                  <c:v>94.4</c:v>
                </c:pt>
                <c:pt idx="3">
                  <c:v>94.6</c:v>
                </c:pt>
                <c:pt idx="4">
                  <c:v>90.1</c:v>
                </c:pt>
                <c:pt idx="5">
                  <c:v>86</c:v>
                </c:pt>
                <c:pt idx="6">
                  <c:v>89.5</c:v>
                </c:pt>
                <c:pt idx="7">
                  <c:v>99.5</c:v>
                </c:pt>
                <c:pt idx="8">
                  <c:v>90.2</c:v>
                </c:pt>
                <c:pt idx="9">
                  <c:v>99.3</c:v>
                </c:pt>
                <c:pt idx="10">
                  <c:v>98.5</c:v>
                </c:pt>
                <c:pt idx="11">
                  <c:v>96.2</c:v>
                </c:pt>
                <c:pt idx="12">
                  <c:v>93.3</c:v>
                </c:pt>
                <c:pt idx="13">
                  <c:v>92.9</c:v>
                </c:pt>
                <c:pt idx="14">
                  <c:v>92.4</c:v>
                </c:pt>
                <c:pt idx="15">
                  <c:v>90.8</c:v>
                </c:pt>
                <c:pt idx="16">
                  <c:v>92.9</c:v>
                </c:pt>
                <c:pt idx="17">
                  <c:v>86.7</c:v>
                </c:pt>
                <c:pt idx="18">
                  <c:v>78.7</c:v>
                </c:pt>
                <c:pt idx="19">
                  <c:v>79.3</c:v>
                </c:pt>
                <c:pt idx="2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5B-4BC9-8311-76F985A7D9E2}"/>
            </c:ext>
          </c:extLst>
        </c:ser>
        <c:ser>
          <c:idx val="4"/>
          <c:order val="4"/>
          <c:tx>
            <c:strRef>
              <c:f>'M1 Population'!$E$18</c:f>
              <c:strCache>
                <c:ptCount val="1"/>
                <c:pt idx="0">
                  <c:v>35 - 39 Years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Population'!$F$13:$Z$13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Population'!$F$18:$Z$18</c:f>
              <c:numCache>
                <c:formatCode>General</c:formatCode>
                <c:ptCount val="21"/>
                <c:pt idx="0">
                  <c:v>36.799999999999997</c:v>
                </c:pt>
                <c:pt idx="1">
                  <c:v>38.700000000000003</c:v>
                </c:pt>
                <c:pt idx="2">
                  <c:v>41.5</c:v>
                </c:pt>
                <c:pt idx="3">
                  <c:v>41.5</c:v>
                </c:pt>
                <c:pt idx="4">
                  <c:v>42.6</c:v>
                </c:pt>
                <c:pt idx="5">
                  <c:v>42.2</c:v>
                </c:pt>
                <c:pt idx="6">
                  <c:v>42.4</c:v>
                </c:pt>
                <c:pt idx="7">
                  <c:v>46.3</c:v>
                </c:pt>
                <c:pt idx="8">
                  <c:v>44.7</c:v>
                </c:pt>
                <c:pt idx="9">
                  <c:v>48.3</c:v>
                </c:pt>
                <c:pt idx="10">
                  <c:v>49.9</c:v>
                </c:pt>
                <c:pt idx="11">
                  <c:v>49.7</c:v>
                </c:pt>
                <c:pt idx="12">
                  <c:v>48.6</c:v>
                </c:pt>
                <c:pt idx="13">
                  <c:v>48.4</c:v>
                </c:pt>
                <c:pt idx="14">
                  <c:v>50.1</c:v>
                </c:pt>
                <c:pt idx="15">
                  <c:v>49</c:v>
                </c:pt>
                <c:pt idx="16">
                  <c:v>53.6</c:v>
                </c:pt>
                <c:pt idx="17">
                  <c:v>49.4</c:v>
                </c:pt>
                <c:pt idx="18">
                  <c:v>47.9</c:v>
                </c:pt>
                <c:pt idx="19">
                  <c:v>50</c:v>
                </c:pt>
                <c:pt idx="20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5B-4BC9-8311-76F985A7D9E2}"/>
            </c:ext>
          </c:extLst>
        </c:ser>
        <c:ser>
          <c:idx val="5"/>
          <c:order val="5"/>
          <c:tx>
            <c:strRef>
              <c:f>'M1 Population'!$E$19</c:f>
              <c:strCache>
                <c:ptCount val="1"/>
                <c:pt idx="0">
                  <c:v>40 - 44 Years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Population'!$F$13:$Z$13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Population'!$F$19:$Z$19</c:f>
              <c:numCache>
                <c:formatCode>General</c:formatCode>
                <c:ptCount val="21"/>
                <c:pt idx="0">
                  <c:v>6.2</c:v>
                </c:pt>
                <c:pt idx="1">
                  <c:v>6.4</c:v>
                </c:pt>
                <c:pt idx="2">
                  <c:v>6.4</c:v>
                </c:pt>
                <c:pt idx="3">
                  <c:v>6.6</c:v>
                </c:pt>
                <c:pt idx="4">
                  <c:v>7</c:v>
                </c:pt>
                <c:pt idx="5">
                  <c:v>6.1</c:v>
                </c:pt>
                <c:pt idx="6">
                  <c:v>7.2</c:v>
                </c:pt>
                <c:pt idx="7">
                  <c:v>8</c:v>
                </c:pt>
                <c:pt idx="8">
                  <c:v>8</c:v>
                </c:pt>
                <c:pt idx="9">
                  <c:v>8.3000000000000007</c:v>
                </c:pt>
                <c:pt idx="10">
                  <c:v>8.9</c:v>
                </c:pt>
                <c:pt idx="11">
                  <c:v>8.8000000000000007</c:v>
                </c:pt>
                <c:pt idx="12">
                  <c:v>9</c:v>
                </c:pt>
                <c:pt idx="13">
                  <c:v>8.8000000000000007</c:v>
                </c:pt>
                <c:pt idx="14">
                  <c:v>9.9</c:v>
                </c:pt>
                <c:pt idx="15">
                  <c:v>9.5</c:v>
                </c:pt>
                <c:pt idx="16">
                  <c:v>10.199999999999999</c:v>
                </c:pt>
                <c:pt idx="17">
                  <c:v>9.8000000000000007</c:v>
                </c:pt>
                <c:pt idx="18">
                  <c:v>9.6</c:v>
                </c:pt>
                <c:pt idx="19">
                  <c:v>10.199999999999999</c:v>
                </c:pt>
                <c:pt idx="20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B5B-4BC9-8311-76F985A7D9E2}"/>
            </c:ext>
          </c:extLst>
        </c:ser>
        <c:ser>
          <c:idx val="6"/>
          <c:order val="6"/>
          <c:tx>
            <c:strRef>
              <c:f>'M1 Population'!$E$20</c:f>
              <c:strCache>
                <c:ptCount val="1"/>
                <c:pt idx="0">
                  <c:v>45 - 49 Years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Population'!$F$13:$Z$13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Population'!$F$20:$Z$20</c:f>
              <c:numCache>
                <c:formatCode>General</c:formatCode>
                <c:ptCount val="2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0.4</c:v>
                </c:pt>
                <c:pt idx="11">
                  <c:v>0.3</c:v>
                </c:pt>
                <c:pt idx="12">
                  <c:v>0.5</c:v>
                </c:pt>
                <c:pt idx="13">
                  <c:v>0.5</c:v>
                </c:pt>
                <c:pt idx="14">
                  <c:v>0.4</c:v>
                </c:pt>
                <c:pt idx="15">
                  <c:v>0.5</c:v>
                </c:pt>
                <c:pt idx="16">
                  <c:v>0.3</c:v>
                </c:pt>
                <c:pt idx="17">
                  <c:v>0.4</c:v>
                </c:pt>
                <c:pt idx="18">
                  <c:v>0.6</c:v>
                </c:pt>
                <c:pt idx="19">
                  <c:v>0.7</c:v>
                </c:pt>
                <c:pt idx="2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B5B-4BC9-8311-76F985A7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926344"/>
        <c:axId val="854744584"/>
      </c:lineChart>
      <c:catAx>
        <c:axId val="41492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44584"/>
        <c:crosses val="autoZero"/>
        <c:auto val="1"/>
        <c:lblAlgn val="ctr"/>
        <c:lblOffset val="100"/>
        <c:noMultiLvlLbl val="0"/>
      </c:catAx>
      <c:valAx>
        <c:axId val="854744584"/>
        <c:scaling>
          <c:orientation val="minMax"/>
          <c:max val="110"/>
          <c:min val="0.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2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 Rates from 2005 to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'M1 Population'!$A$52</c:f>
              <c:strCache>
                <c:ptCount val="1"/>
                <c:pt idx="0">
                  <c:v>Under 1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Population'!$B$52:$V$52</c:f>
              <c:numCache>
                <c:formatCode>General</c:formatCode>
                <c:ptCount val="21"/>
                <c:pt idx="0">
                  <c:v>2.1</c:v>
                </c:pt>
                <c:pt idx="1">
                  <c:v>2.6</c:v>
                </c:pt>
                <c:pt idx="2">
                  <c:v>2.1</c:v>
                </c:pt>
                <c:pt idx="3">
                  <c:v>2.1</c:v>
                </c:pt>
                <c:pt idx="4">
                  <c:v>2.2000000000000002</c:v>
                </c:pt>
                <c:pt idx="5">
                  <c:v>2</c:v>
                </c:pt>
                <c:pt idx="6">
                  <c:v>2</c:v>
                </c:pt>
                <c:pt idx="7">
                  <c:v>1.8</c:v>
                </c:pt>
                <c:pt idx="8">
                  <c:v>2</c:v>
                </c:pt>
                <c:pt idx="9">
                  <c:v>1.8</c:v>
                </c:pt>
                <c:pt idx="10">
                  <c:v>1.7</c:v>
                </c:pt>
                <c:pt idx="11">
                  <c:v>2.4</c:v>
                </c:pt>
                <c:pt idx="12">
                  <c:v>2.2000000000000002</c:v>
                </c:pt>
                <c:pt idx="13">
                  <c:v>2.1</c:v>
                </c:pt>
                <c:pt idx="14">
                  <c:v>1.7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2.2000000000000002</c:v>
                </c:pt>
                <c:pt idx="19">
                  <c:v>2.2999999999999998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2F-45CD-90CC-F2C5BE719DB5}"/>
            </c:ext>
          </c:extLst>
        </c:ser>
        <c:ser>
          <c:idx val="1"/>
          <c:order val="1"/>
          <c:tx>
            <c:strRef>
              <c:f>'M1 Population'!$A$53</c:f>
              <c:strCache>
                <c:ptCount val="1"/>
                <c:pt idx="0">
                  <c:v>1 - 4 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Population'!$B$53:$V$53</c:f>
              <c:numCache>
                <c:formatCode>General</c:formatCode>
                <c:ptCount val="21"/>
                <c:pt idx="0">
                  <c:v>0.2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0.1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2F-45CD-90CC-F2C5BE719DB5}"/>
            </c:ext>
          </c:extLst>
        </c:ser>
        <c:ser>
          <c:idx val="2"/>
          <c:order val="2"/>
          <c:tx>
            <c:strRef>
              <c:f>'M1 Population'!$A$54</c:f>
              <c:strCache>
                <c:ptCount val="1"/>
                <c:pt idx="0">
                  <c:v>5 - 9 Years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Population'!$B$54:$V$54</c:f>
              <c:numCache>
                <c:formatCode>General</c:formatCode>
                <c:ptCount val="21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</c:v>
                </c:pt>
                <c:pt idx="13">
                  <c:v>0.1</c:v>
                </c:pt>
                <c:pt idx="14">
                  <c:v>0.1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2F-45CD-90CC-F2C5BE719DB5}"/>
            </c:ext>
          </c:extLst>
        </c:ser>
        <c:ser>
          <c:idx val="3"/>
          <c:order val="3"/>
          <c:tx>
            <c:strRef>
              <c:f>'M1 Population'!$A$55</c:f>
              <c:strCache>
                <c:ptCount val="1"/>
                <c:pt idx="0">
                  <c:v>10 - 14 Years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Population'!$B$55:$V$55</c:f>
              <c:numCache>
                <c:formatCode>General</c:formatCode>
                <c:ptCount val="21"/>
                <c:pt idx="0">
                  <c:v>0.1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0.1</c:v>
                </c:pt>
                <c:pt idx="16">
                  <c:v>0.1</c:v>
                </c:pt>
                <c:pt idx="17">
                  <c:v>0.2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2F-45CD-90CC-F2C5BE719DB5}"/>
            </c:ext>
          </c:extLst>
        </c:ser>
        <c:ser>
          <c:idx val="4"/>
          <c:order val="4"/>
          <c:tx>
            <c:strRef>
              <c:f>'M1 Population'!$A$56</c:f>
              <c:strCache>
                <c:ptCount val="1"/>
                <c:pt idx="0">
                  <c:v>15 - 19 Years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Population'!$B$56:$V$56</c:f>
              <c:numCache>
                <c:formatCode>General</c:formatCode>
                <c:ptCount val="2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2F-45CD-90CC-F2C5BE719DB5}"/>
            </c:ext>
          </c:extLst>
        </c:ser>
        <c:ser>
          <c:idx val="5"/>
          <c:order val="5"/>
          <c:tx>
            <c:strRef>
              <c:f>'M1 Population'!$A$57</c:f>
              <c:strCache>
                <c:ptCount val="1"/>
                <c:pt idx="0">
                  <c:v>20 - 24 Years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Population'!$B$57:$V$57</c:f>
              <c:numCache>
                <c:formatCode>General</c:formatCode>
                <c:ptCount val="2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0.3</c:v>
                </c:pt>
                <c:pt idx="14">
                  <c:v>0.3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0.2</c:v>
                </c:pt>
                <c:pt idx="19">
                  <c:v>0.3</c:v>
                </c:pt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42F-45CD-90CC-F2C5BE719DB5}"/>
            </c:ext>
          </c:extLst>
        </c:ser>
        <c:ser>
          <c:idx val="6"/>
          <c:order val="6"/>
          <c:tx>
            <c:strRef>
              <c:f>'M1 Population'!$A$58</c:f>
              <c:strCache>
                <c:ptCount val="1"/>
                <c:pt idx="0">
                  <c:v>25 - 29 Years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Population'!$B$58:$V$58</c:f>
              <c:numCache>
                <c:formatCode>General</c:formatCode>
                <c:ptCount val="2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0.2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42F-45CD-90CC-F2C5BE719DB5}"/>
            </c:ext>
          </c:extLst>
        </c:ser>
        <c:ser>
          <c:idx val="7"/>
          <c:order val="7"/>
          <c:tx>
            <c:strRef>
              <c:f>'M1 Population'!$A$59</c:f>
              <c:strCache>
                <c:ptCount val="1"/>
                <c:pt idx="0">
                  <c:v>30 - 34 Years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Population'!$B$59:$V$59</c:f>
              <c:numCache>
                <c:formatCode>General</c:formatCode>
                <c:ptCount val="21"/>
                <c:pt idx="0">
                  <c:v>0.5</c:v>
                </c:pt>
                <c:pt idx="1">
                  <c:v>0.5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0.3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0.3</c:v>
                </c:pt>
                <c:pt idx="19">
                  <c:v>0.4</c:v>
                </c:pt>
                <c:pt idx="2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42F-45CD-90CC-F2C5BE719DB5}"/>
            </c:ext>
          </c:extLst>
        </c:ser>
        <c:ser>
          <c:idx val="8"/>
          <c:order val="8"/>
          <c:tx>
            <c:strRef>
              <c:f>'M1 Population'!$A$60</c:f>
              <c:strCache>
                <c:ptCount val="1"/>
                <c:pt idx="0">
                  <c:v>35 - 39 Years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Population'!$B$60:$V$60</c:f>
              <c:numCache>
                <c:formatCode>General</c:formatCode>
                <c:ptCount val="21"/>
                <c:pt idx="0">
                  <c:v>0.8</c:v>
                </c:pt>
                <c:pt idx="1">
                  <c:v>0.7</c:v>
                </c:pt>
                <c:pt idx="2">
                  <c:v>0.6</c:v>
                </c:pt>
                <c:pt idx="3">
                  <c:v>0.7</c:v>
                </c:pt>
                <c:pt idx="4">
                  <c:v>0.6</c:v>
                </c:pt>
                <c:pt idx="5">
                  <c:v>0.6</c:v>
                </c:pt>
                <c:pt idx="6">
                  <c:v>0.5</c:v>
                </c:pt>
                <c:pt idx="7">
                  <c:v>0.6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0.6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42F-45CD-90CC-F2C5BE719DB5}"/>
            </c:ext>
          </c:extLst>
        </c:ser>
        <c:ser>
          <c:idx val="9"/>
          <c:order val="9"/>
          <c:tx>
            <c:strRef>
              <c:f>'M1 Population'!$A$61</c:f>
              <c:strCache>
                <c:ptCount val="1"/>
                <c:pt idx="0">
                  <c:v>40 - 44 Years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Population'!$B$61:$V$61</c:f>
              <c:numCache>
                <c:formatCode>General</c:formatCode>
                <c:ptCount val="21"/>
                <c:pt idx="0">
                  <c:v>1.2</c:v>
                </c:pt>
                <c:pt idx="1">
                  <c:v>1.3</c:v>
                </c:pt>
                <c:pt idx="2">
                  <c:v>1.2</c:v>
                </c:pt>
                <c:pt idx="3">
                  <c:v>1.2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0.7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42F-45CD-90CC-F2C5BE719DB5}"/>
            </c:ext>
          </c:extLst>
        </c:ser>
        <c:ser>
          <c:idx val="10"/>
          <c:order val="10"/>
          <c:tx>
            <c:strRef>
              <c:f>'M1 Population'!$A$62</c:f>
              <c:strCache>
                <c:ptCount val="1"/>
                <c:pt idx="0">
                  <c:v>45 - 49 Years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Population'!$B$62:$V$62</c:f>
              <c:numCache>
                <c:formatCode>General</c:formatCode>
                <c:ptCount val="21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1.8</c:v>
                </c:pt>
                <c:pt idx="4">
                  <c:v>1.6</c:v>
                </c:pt>
                <c:pt idx="5">
                  <c:v>1.7</c:v>
                </c:pt>
                <c:pt idx="6">
                  <c:v>1.7</c:v>
                </c:pt>
                <c:pt idx="7">
                  <c:v>1.6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1.3</c:v>
                </c:pt>
                <c:pt idx="15">
                  <c:v>1.3</c:v>
                </c:pt>
                <c:pt idx="16">
                  <c:v>1.5</c:v>
                </c:pt>
                <c:pt idx="17">
                  <c:v>1.4</c:v>
                </c:pt>
                <c:pt idx="18">
                  <c:v>1.3</c:v>
                </c:pt>
                <c:pt idx="19">
                  <c:v>1.3</c:v>
                </c:pt>
                <c:pt idx="2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42F-45CD-90CC-F2C5BE719DB5}"/>
            </c:ext>
          </c:extLst>
        </c:ser>
        <c:ser>
          <c:idx val="11"/>
          <c:order val="11"/>
          <c:tx>
            <c:strRef>
              <c:f>'M1 Population'!$A$63</c:f>
              <c:strCache>
                <c:ptCount val="1"/>
                <c:pt idx="0">
                  <c:v>50 - 54 Years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Population'!$B$63:$V$63</c:f>
              <c:numCache>
                <c:formatCode>General</c:formatCode>
                <c:ptCount val="21"/>
                <c:pt idx="0">
                  <c:v>3.5</c:v>
                </c:pt>
                <c:pt idx="1">
                  <c:v>3.2</c:v>
                </c:pt>
                <c:pt idx="2">
                  <c:v>3.1</c:v>
                </c:pt>
                <c:pt idx="3">
                  <c:v>3.2</c:v>
                </c:pt>
                <c:pt idx="4">
                  <c:v>3</c:v>
                </c:pt>
                <c:pt idx="5">
                  <c:v>3</c:v>
                </c:pt>
                <c:pt idx="6">
                  <c:v>2.8</c:v>
                </c:pt>
                <c:pt idx="7">
                  <c:v>2.5</c:v>
                </c:pt>
                <c:pt idx="8">
                  <c:v>2.7</c:v>
                </c:pt>
                <c:pt idx="9">
                  <c:v>2.5</c:v>
                </c:pt>
                <c:pt idx="10">
                  <c:v>2.5</c:v>
                </c:pt>
                <c:pt idx="11">
                  <c:v>2.4</c:v>
                </c:pt>
                <c:pt idx="12">
                  <c:v>2.6</c:v>
                </c:pt>
                <c:pt idx="13">
                  <c:v>2.2999999999999998</c:v>
                </c:pt>
                <c:pt idx="14">
                  <c:v>2.1</c:v>
                </c:pt>
                <c:pt idx="15">
                  <c:v>2.2000000000000002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42F-45CD-90CC-F2C5BE719DB5}"/>
            </c:ext>
          </c:extLst>
        </c:ser>
        <c:ser>
          <c:idx val="12"/>
          <c:order val="12"/>
          <c:tx>
            <c:strRef>
              <c:f>'M1 Population'!$A$64</c:f>
              <c:strCache>
                <c:ptCount val="1"/>
                <c:pt idx="0">
                  <c:v>55 - 59 Years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Population'!$B$64:$V$64</c:f>
              <c:numCache>
                <c:formatCode>General</c:formatCode>
                <c:ptCount val="21"/>
                <c:pt idx="0">
                  <c:v>5.7</c:v>
                </c:pt>
                <c:pt idx="1">
                  <c:v>5.3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4.7</c:v>
                </c:pt>
                <c:pt idx="5">
                  <c:v>4.5</c:v>
                </c:pt>
                <c:pt idx="6">
                  <c:v>4.4000000000000004</c:v>
                </c:pt>
                <c:pt idx="7">
                  <c:v>4.5999999999999996</c:v>
                </c:pt>
                <c:pt idx="8">
                  <c:v>4.3</c:v>
                </c:pt>
                <c:pt idx="9">
                  <c:v>4.5</c:v>
                </c:pt>
                <c:pt idx="10">
                  <c:v>4.2</c:v>
                </c:pt>
                <c:pt idx="11">
                  <c:v>4.0999999999999996</c:v>
                </c:pt>
                <c:pt idx="12">
                  <c:v>3.9</c:v>
                </c:pt>
                <c:pt idx="13">
                  <c:v>3.9</c:v>
                </c:pt>
                <c:pt idx="14">
                  <c:v>3.7</c:v>
                </c:pt>
                <c:pt idx="15">
                  <c:v>3.7</c:v>
                </c:pt>
                <c:pt idx="16">
                  <c:v>3.8</c:v>
                </c:pt>
                <c:pt idx="17">
                  <c:v>3.6</c:v>
                </c:pt>
                <c:pt idx="18">
                  <c:v>3.7</c:v>
                </c:pt>
                <c:pt idx="19">
                  <c:v>3.5</c:v>
                </c:pt>
                <c:pt idx="20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42F-45CD-90CC-F2C5BE719DB5}"/>
            </c:ext>
          </c:extLst>
        </c:ser>
        <c:ser>
          <c:idx val="13"/>
          <c:order val="13"/>
          <c:tx>
            <c:strRef>
              <c:f>'M1 Population'!$A$65</c:f>
              <c:strCache>
                <c:ptCount val="1"/>
                <c:pt idx="0">
                  <c:v>60 - 64 Years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Population'!$B$65:$V$65</c:f>
              <c:numCache>
                <c:formatCode>General</c:formatCode>
                <c:ptCount val="21"/>
                <c:pt idx="0">
                  <c:v>9.3000000000000007</c:v>
                </c:pt>
                <c:pt idx="1">
                  <c:v>9</c:v>
                </c:pt>
                <c:pt idx="2">
                  <c:v>8.5</c:v>
                </c:pt>
                <c:pt idx="3">
                  <c:v>8.1</c:v>
                </c:pt>
                <c:pt idx="4">
                  <c:v>7.4</c:v>
                </c:pt>
                <c:pt idx="5">
                  <c:v>7.3</c:v>
                </c:pt>
                <c:pt idx="6">
                  <c:v>7</c:v>
                </c:pt>
                <c:pt idx="7">
                  <c:v>7.3</c:v>
                </c:pt>
                <c:pt idx="8">
                  <c:v>7</c:v>
                </c:pt>
                <c:pt idx="9">
                  <c:v>6.4</c:v>
                </c:pt>
                <c:pt idx="10">
                  <c:v>6.5</c:v>
                </c:pt>
                <c:pt idx="11">
                  <c:v>6.2</c:v>
                </c:pt>
                <c:pt idx="12">
                  <c:v>6.3</c:v>
                </c:pt>
                <c:pt idx="13">
                  <c:v>6.3</c:v>
                </c:pt>
                <c:pt idx="14">
                  <c:v>5.9</c:v>
                </c:pt>
                <c:pt idx="15">
                  <c:v>5.9</c:v>
                </c:pt>
                <c:pt idx="16">
                  <c:v>6.4</c:v>
                </c:pt>
                <c:pt idx="17">
                  <c:v>6.3</c:v>
                </c:pt>
                <c:pt idx="18">
                  <c:v>6</c:v>
                </c:pt>
                <c:pt idx="19">
                  <c:v>5.7</c:v>
                </c:pt>
                <c:pt idx="20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42F-45CD-90CC-F2C5BE719DB5}"/>
            </c:ext>
          </c:extLst>
        </c:ser>
        <c:ser>
          <c:idx val="14"/>
          <c:order val="14"/>
          <c:tx>
            <c:strRef>
              <c:f>'M1 Population'!$A$66</c:f>
              <c:strCache>
                <c:ptCount val="1"/>
                <c:pt idx="0">
                  <c:v>65 - 69 Years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Population'!$B$66:$V$66</c:f>
              <c:numCache>
                <c:formatCode>General</c:formatCode>
                <c:ptCount val="21"/>
                <c:pt idx="0">
                  <c:v>16</c:v>
                </c:pt>
                <c:pt idx="1">
                  <c:v>14.1</c:v>
                </c:pt>
                <c:pt idx="2">
                  <c:v>14.1</c:v>
                </c:pt>
                <c:pt idx="3">
                  <c:v>13.9</c:v>
                </c:pt>
                <c:pt idx="4">
                  <c:v>12.8</c:v>
                </c:pt>
                <c:pt idx="5">
                  <c:v>12.5</c:v>
                </c:pt>
                <c:pt idx="6">
                  <c:v>12.6</c:v>
                </c:pt>
                <c:pt idx="7">
                  <c:v>11.9</c:v>
                </c:pt>
                <c:pt idx="8">
                  <c:v>11</c:v>
                </c:pt>
                <c:pt idx="9">
                  <c:v>10.6</c:v>
                </c:pt>
                <c:pt idx="10">
                  <c:v>10.4</c:v>
                </c:pt>
                <c:pt idx="11">
                  <c:v>10.1</c:v>
                </c:pt>
                <c:pt idx="12">
                  <c:v>9.9</c:v>
                </c:pt>
                <c:pt idx="13">
                  <c:v>9.5</c:v>
                </c:pt>
                <c:pt idx="14">
                  <c:v>9</c:v>
                </c:pt>
                <c:pt idx="15">
                  <c:v>9.1999999999999993</c:v>
                </c:pt>
                <c:pt idx="16">
                  <c:v>9.6999999999999993</c:v>
                </c:pt>
                <c:pt idx="17">
                  <c:v>10</c:v>
                </c:pt>
                <c:pt idx="18">
                  <c:v>9.8000000000000007</c:v>
                </c:pt>
                <c:pt idx="19">
                  <c:v>9.5</c:v>
                </c:pt>
                <c:pt idx="20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42F-45CD-90CC-F2C5BE719DB5}"/>
            </c:ext>
          </c:extLst>
        </c:ser>
        <c:ser>
          <c:idx val="15"/>
          <c:order val="15"/>
          <c:tx>
            <c:strRef>
              <c:f>'M1 Population'!$A$67</c:f>
              <c:strCache>
                <c:ptCount val="1"/>
                <c:pt idx="0">
                  <c:v>70 - 74 Years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Population'!$B$67:$V$67</c:f>
              <c:numCache>
                <c:formatCode>General</c:formatCode>
                <c:ptCount val="21"/>
                <c:pt idx="0">
                  <c:v>24.8</c:v>
                </c:pt>
                <c:pt idx="1">
                  <c:v>23.6</c:v>
                </c:pt>
                <c:pt idx="2">
                  <c:v>25.9</c:v>
                </c:pt>
                <c:pt idx="3">
                  <c:v>24.1</c:v>
                </c:pt>
                <c:pt idx="4">
                  <c:v>21.7</c:v>
                </c:pt>
                <c:pt idx="5">
                  <c:v>20.7</c:v>
                </c:pt>
                <c:pt idx="6">
                  <c:v>19.899999999999999</c:v>
                </c:pt>
                <c:pt idx="7">
                  <c:v>20</c:v>
                </c:pt>
                <c:pt idx="8">
                  <c:v>19.600000000000001</c:v>
                </c:pt>
                <c:pt idx="9">
                  <c:v>18.5</c:v>
                </c:pt>
                <c:pt idx="10">
                  <c:v>18.2</c:v>
                </c:pt>
                <c:pt idx="11">
                  <c:v>16.7</c:v>
                </c:pt>
                <c:pt idx="12">
                  <c:v>16.899999999999999</c:v>
                </c:pt>
                <c:pt idx="13">
                  <c:v>16.5</c:v>
                </c:pt>
                <c:pt idx="14">
                  <c:v>15.3</c:v>
                </c:pt>
                <c:pt idx="15">
                  <c:v>15.1</c:v>
                </c:pt>
                <c:pt idx="16">
                  <c:v>15.8</c:v>
                </c:pt>
                <c:pt idx="17">
                  <c:v>16.2</c:v>
                </c:pt>
                <c:pt idx="18">
                  <c:v>15.4</c:v>
                </c:pt>
                <c:pt idx="19">
                  <c:v>14.9</c:v>
                </c:pt>
                <c:pt idx="20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42F-45CD-90CC-F2C5BE719DB5}"/>
            </c:ext>
          </c:extLst>
        </c:ser>
        <c:ser>
          <c:idx val="16"/>
          <c:order val="16"/>
          <c:tx>
            <c:strRef>
              <c:f>'M1 Population'!$A$68</c:f>
              <c:strCache>
                <c:ptCount val="1"/>
                <c:pt idx="0">
                  <c:v>75 - 79 Years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Population'!$B$68:$V$68</c:f>
              <c:numCache>
                <c:formatCode>General</c:formatCode>
                <c:ptCount val="21"/>
                <c:pt idx="0">
                  <c:v>40.9</c:v>
                </c:pt>
                <c:pt idx="1">
                  <c:v>42.5</c:v>
                </c:pt>
                <c:pt idx="2">
                  <c:v>41</c:v>
                </c:pt>
                <c:pt idx="3">
                  <c:v>39.1</c:v>
                </c:pt>
                <c:pt idx="4">
                  <c:v>37.4</c:v>
                </c:pt>
                <c:pt idx="5">
                  <c:v>34.9</c:v>
                </c:pt>
                <c:pt idx="6">
                  <c:v>37</c:v>
                </c:pt>
                <c:pt idx="7">
                  <c:v>33.299999999999997</c:v>
                </c:pt>
                <c:pt idx="8">
                  <c:v>33.799999999999997</c:v>
                </c:pt>
                <c:pt idx="9">
                  <c:v>32.6</c:v>
                </c:pt>
                <c:pt idx="10">
                  <c:v>31.8</c:v>
                </c:pt>
                <c:pt idx="11">
                  <c:v>30.1</c:v>
                </c:pt>
                <c:pt idx="12">
                  <c:v>28.9</c:v>
                </c:pt>
                <c:pt idx="13">
                  <c:v>28.3</c:v>
                </c:pt>
                <c:pt idx="14">
                  <c:v>27.2</c:v>
                </c:pt>
                <c:pt idx="15">
                  <c:v>26.1</c:v>
                </c:pt>
                <c:pt idx="16">
                  <c:v>28.2</c:v>
                </c:pt>
                <c:pt idx="17">
                  <c:v>28.8</c:v>
                </c:pt>
                <c:pt idx="18">
                  <c:v>26.9</c:v>
                </c:pt>
                <c:pt idx="19">
                  <c:v>25</c:v>
                </c:pt>
                <c:pt idx="20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42F-45CD-90CC-F2C5BE719DB5}"/>
            </c:ext>
          </c:extLst>
        </c:ser>
        <c:ser>
          <c:idx val="17"/>
          <c:order val="17"/>
          <c:tx>
            <c:strRef>
              <c:f>'M1 Population'!$A$69</c:f>
              <c:strCache>
                <c:ptCount val="1"/>
                <c:pt idx="0">
                  <c:v>80 - 84 Years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Population'!$B$69:$V$69</c:f>
              <c:numCache>
                <c:formatCode>General</c:formatCode>
                <c:ptCount val="21"/>
                <c:pt idx="0">
                  <c:v>70.7</c:v>
                </c:pt>
                <c:pt idx="1">
                  <c:v>66.8</c:v>
                </c:pt>
                <c:pt idx="2">
                  <c:v>67.7</c:v>
                </c:pt>
                <c:pt idx="3">
                  <c:v>63</c:v>
                </c:pt>
                <c:pt idx="4">
                  <c:v>58.3</c:v>
                </c:pt>
                <c:pt idx="5">
                  <c:v>60.4</c:v>
                </c:pt>
                <c:pt idx="6">
                  <c:v>57.4</c:v>
                </c:pt>
                <c:pt idx="7">
                  <c:v>55.7</c:v>
                </c:pt>
                <c:pt idx="8">
                  <c:v>55.7</c:v>
                </c:pt>
                <c:pt idx="9">
                  <c:v>56.3</c:v>
                </c:pt>
                <c:pt idx="10">
                  <c:v>51.6</c:v>
                </c:pt>
                <c:pt idx="11">
                  <c:v>53</c:v>
                </c:pt>
                <c:pt idx="12">
                  <c:v>53.7</c:v>
                </c:pt>
                <c:pt idx="13">
                  <c:v>51.4</c:v>
                </c:pt>
                <c:pt idx="14">
                  <c:v>49.2</c:v>
                </c:pt>
                <c:pt idx="15">
                  <c:v>49.1</c:v>
                </c:pt>
                <c:pt idx="16">
                  <c:v>49.8</c:v>
                </c:pt>
                <c:pt idx="17">
                  <c:v>54.2</c:v>
                </c:pt>
                <c:pt idx="18">
                  <c:v>51.7</c:v>
                </c:pt>
                <c:pt idx="19">
                  <c:v>48.7</c:v>
                </c:pt>
                <c:pt idx="20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42F-45CD-90CC-F2C5BE719DB5}"/>
            </c:ext>
          </c:extLst>
        </c:ser>
        <c:ser>
          <c:idx val="18"/>
          <c:order val="18"/>
          <c:tx>
            <c:strRef>
              <c:f>'M1 Population'!$A$70</c:f>
              <c:strCache>
                <c:ptCount val="1"/>
                <c:pt idx="0">
                  <c:v>85 - 89 Years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Population'!$B$70:$V$70</c:f>
              <c:numCache>
                <c:formatCode>General</c:formatCode>
                <c:ptCount val="21"/>
                <c:pt idx="0">
                  <c:v>106.1</c:v>
                </c:pt>
                <c:pt idx="1">
                  <c:v>103.6</c:v>
                </c:pt>
                <c:pt idx="2">
                  <c:v>106.1</c:v>
                </c:pt>
                <c:pt idx="3">
                  <c:v>98.7</c:v>
                </c:pt>
                <c:pt idx="4">
                  <c:v>97.6</c:v>
                </c:pt>
                <c:pt idx="5">
                  <c:v>97.1</c:v>
                </c:pt>
                <c:pt idx="6">
                  <c:v>92.4</c:v>
                </c:pt>
                <c:pt idx="7">
                  <c:v>93.3</c:v>
                </c:pt>
                <c:pt idx="8">
                  <c:v>89.7</c:v>
                </c:pt>
                <c:pt idx="9">
                  <c:v>90.1</c:v>
                </c:pt>
                <c:pt idx="10">
                  <c:v>89.7</c:v>
                </c:pt>
                <c:pt idx="11">
                  <c:v>87.2</c:v>
                </c:pt>
                <c:pt idx="12">
                  <c:v>90.6</c:v>
                </c:pt>
                <c:pt idx="13">
                  <c:v>84.6</c:v>
                </c:pt>
                <c:pt idx="14">
                  <c:v>84.5</c:v>
                </c:pt>
                <c:pt idx="15">
                  <c:v>83.7</c:v>
                </c:pt>
                <c:pt idx="16">
                  <c:v>93.4</c:v>
                </c:pt>
                <c:pt idx="17">
                  <c:v>101.1</c:v>
                </c:pt>
                <c:pt idx="18">
                  <c:v>96.3</c:v>
                </c:pt>
                <c:pt idx="19">
                  <c:v>85.5</c:v>
                </c:pt>
                <c:pt idx="20">
                  <c:v>83.2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42F-45CD-90CC-F2C5BE719DB5}"/>
            </c:ext>
          </c:extLst>
        </c:ser>
        <c:ser>
          <c:idx val="19"/>
          <c:order val="19"/>
          <c:tx>
            <c:strRef>
              <c:f>'M1 Population'!$A$71</c:f>
              <c:strCache>
                <c:ptCount val="1"/>
                <c:pt idx="0">
                  <c:v>90 Years &amp; Over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Population'!$B$51:$V$51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'M1 Population'!$B$71:$V$71</c:f>
              <c:numCache>
                <c:formatCode>General</c:formatCode>
                <c:ptCount val="21"/>
                <c:pt idx="0">
                  <c:v>163.30000000000001</c:v>
                </c:pt>
                <c:pt idx="1">
                  <c:v>162.69999999999999</c:v>
                </c:pt>
                <c:pt idx="2">
                  <c:v>159.19999999999999</c:v>
                </c:pt>
                <c:pt idx="3">
                  <c:v>157.6</c:v>
                </c:pt>
                <c:pt idx="4">
                  <c:v>159.19999999999999</c:v>
                </c:pt>
                <c:pt idx="5">
                  <c:v>163.6</c:v>
                </c:pt>
                <c:pt idx="6">
                  <c:v>158.19999999999999</c:v>
                </c:pt>
                <c:pt idx="7">
                  <c:v>157.19999999999999</c:v>
                </c:pt>
                <c:pt idx="8">
                  <c:v>164.7</c:v>
                </c:pt>
                <c:pt idx="9">
                  <c:v>163.4</c:v>
                </c:pt>
                <c:pt idx="10">
                  <c:v>160.4</c:v>
                </c:pt>
                <c:pt idx="11">
                  <c:v>148.5</c:v>
                </c:pt>
                <c:pt idx="12">
                  <c:v>151.80000000000001</c:v>
                </c:pt>
                <c:pt idx="13">
                  <c:v>155.1</c:v>
                </c:pt>
                <c:pt idx="14">
                  <c:v>149.5</c:v>
                </c:pt>
                <c:pt idx="15">
                  <c:v>143.80000000000001</c:v>
                </c:pt>
                <c:pt idx="16">
                  <c:v>165.3</c:v>
                </c:pt>
                <c:pt idx="17">
                  <c:v>185</c:v>
                </c:pt>
                <c:pt idx="18">
                  <c:v>177.3</c:v>
                </c:pt>
                <c:pt idx="19">
                  <c:v>160.80000000000001</c:v>
                </c:pt>
                <c:pt idx="20">
                  <c:v>154.6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42F-45CD-90CC-F2C5BE719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08328"/>
        <c:axId val="76410376"/>
      </c:lineChart>
      <c:catAx>
        <c:axId val="7640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0376"/>
        <c:crosses val="autoZero"/>
        <c:auto val="1"/>
        <c:lblAlgn val="ctr"/>
        <c:lblOffset val="100"/>
        <c:noMultiLvlLbl val="0"/>
      </c:catAx>
      <c:valAx>
        <c:axId val="76410376"/>
        <c:scaling>
          <c:orientation val="minMax"/>
          <c:max val="190"/>
          <c:min val="0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Fertility Rates from 2026 to 2035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'M1 Population'!$E$4</c:f>
              <c:strCache>
                <c:ptCount val="1"/>
                <c:pt idx="0">
                  <c:v>15 - 19 Years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Population'!$F$3:$O$3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'M1 Population'!$F$4:$O$4</c:f>
              <c:numCache>
                <c:formatCode>General</c:formatCode>
                <c:ptCount val="10"/>
                <c:pt idx="0">
                  <c:v>1.7031887781695221</c:v>
                </c:pt>
                <c:pt idx="1">
                  <c:v>1.6234625436985022</c:v>
                </c:pt>
                <c:pt idx="2">
                  <c:v>1.5474682927541248</c:v>
                </c:pt>
                <c:pt idx="3">
                  <c:v>1.475031331258184</c:v>
                </c:pt>
                <c:pt idx="4">
                  <c:v>1.4059851425588832</c:v>
                </c:pt>
                <c:pt idx="5">
                  <c:v>1.3401710046458264</c:v>
                </c:pt>
                <c:pt idx="6">
                  <c:v>1.2774376252828603</c:v>
                </c:pt>
                <c:pt idx="7">
                  <c:v>1.2176407942205454</c:v>
                </c:pt>
                <c:pt idx="8">
                  <c:v>1.1606430516885409</c:v>
                </c:pt>
                <c:pt idx="9">
                  <c:v>1.1063133724056859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05C-4273-ADA0-81303B56DD84}"/>
            </c:ext>
          </c:extLst>
        </c:ser>
        <c:ser>
          <c:idx val="1"/>
          <c:order val="1"/>
          <c:tx>
            <c:strRef>
              <c:f>'M1 Population'!$E$5</c:f>
              <c:strCache>
                <c:ptCount val="1"/>
                <c:pt idx="0">
                  <c:v>20 - 24 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Population'!$F$3:$O$3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'M1 Population'!$F$5:$O$5</c:f>
              <c:numCache>
                <c:formatCode>General</c:formatCode>
                <c:ptCount val="10"/>
                <c:pt idx="0">
                  <c:v>8.3187495965589751</c:v>
                </c:pt>
                <c:pt idx="1">
                  <c:v>7.7580791221420933</c:v>
                </c:pt>
                <c:pt idx="2">
                  <c:v>7.2351969447806486</c:v>
                </c:pt>
                <c:pt idx="3">
                  <c:v>6.7475561934343009</c:v>
                </c:pt>
                <c:pt idx="4">
                  <c:v>6.2927816521149209</c:v>
                </c:pt>
                <c:pt idx="5">
                  <c:v>5.8686581906090538</c:v>
                </c:pt>
                <c:pt idx="6">
                  <c:v>5.4731199749523345</c:v>
                </c:pt>
                <c:pt idx="7">
                  <c:v>5.1042404050990529</c:v>
                </c:pt>
                <c:pt idx="8">
                  <c:v>4.7602227307783265</c:v>
                </c:pt>
                <c:pt idx="9">
                  <c:v>4.439391299826438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05C-4273-ADA0-81303B56DD84}"/>
            </c:ext>
          </c:extLst>
        </c:ser>
        <c:ser>
          <c:idx val="2"/>
          <c:order val="2"/>
          <c:tx>
            <c:strRef>
              <c:f>'M1 Population'!$E$6</c:f>
              <c:strCache>
                <c:ptCount val="1"/>
                <c:pt idx="0">
                  <c:v>25 - 29 Years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Population'!$F$3:$O$3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'M1 Population'!$F$6:$O$6</c:f>
              <c:numCache>
                <c:formatCode>General</c:formatCode>
                <c:ptCount val="10"/>
                <c:pt idx="0">
                  <c:v>38.022728304924229</c:v>
                </c:pt>
                <c:pt idx="1">
                  <c:v>35.919572684101041</c:v>
                </c:pt>
                <c:pt idx="2">
                  <c:v>33.932749156280956</c:v>
                </c:pt>
                <c:pt idx="3">
                  <c:v>32.055823030787991</c:v>
                </c:pt>
                <c:pt idx="4">
                  <c:v>30.282715539746007</c:v>
                </c:pt>
                <c:pt idx="5">
                  <c:v>28.607684150876459</c:v>
                </c:pt>
                <c:pt idx="6">
                  <c:v>27.025303969260904</c:v>
                </c:pt>
                <c:pt idx="7">
                  <c:v>25.530450167829581</c:v>
                </c:pt>
                <c:pt idx="8">
                  <c:v>24.118281389671086</c:v>
                </c:pt>
                <c:pt idx="9">
                  <c:v>22.784224068415543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05C-4273-ADA0-81303B56DD84}"/>
            </c:ext>
          </c:extLst>
        </c:ser>
        <c:ser>
          <c:idx val="3"/>
          <c:order val="3"/>
          <c:tx>
            <c:strRef>
              <c:f>'M1 Population'!$E$7</c:f>
              <c:strCache>
                <c:ptCount val="1"/>
                <c:pt idx="0">
                  <c:v>30 - 34 Years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Population'!$F$3:$O$3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'M1 Population'!$F$7:$O$7</c:f>
              <c:numCache>
                <c:formatCode>General</c:formatCode>
                <c:ptCount val="10"/>
                <c:pt idx="0">
                  <c:v>74.141049479202323</c:v>
                </c:pt>
                <c:pt idx="1">
                  <c:v>72.06516366599854</c:v>
                </c:pt>
                <c:pt idx="2">
                  <c:v>70.047400875596978</c:v>
                </c:pt>
                <c:pt idx="3">
                  <c:v>68.08613371319673</c:v>
                </c:pt>
                <c:pt idx="4">
                  <c:v>66.179780349656411</c:v>
                </c:pt>
                <c:pt idx="5">
                  <c:v>64.326803245692801</c:v>
                </c:pt>
                <c:pt idx="6">
                  <c:v>62.525707911805675</c:v>
                </c:pt>
                <c:pt idx="7">
                  <c:v>60.775041702918898</c:v>
                </c:pt>
                <c:pt idx="8">
                  <c:v>59.073392646772902</c:v>
                </c:pt>
                <c:pt idx="9">
                  <c:v>57.41938830512067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05C-4273-ADA0-81303B56DD84}"/>
            </c:ext>
          </c:extLst>
        </c:ser>
        <c:ser>
          <c:idx val="4"/>
          <c:order val="4"/>
          <c:tx>
            <c:strRef>
              <c:f>'M1 Population'!$E$8</c:f>
              <c:strCache>
                <c:ptCount val="1"/>
                <c:pt idx="0">
                  <c:v>35 - 39 Years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Population'!$F$3:$O$3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'M1 Population'!$F$8:$O$8</c:f>
              <c:numCache>
                <c:formatCode>General</c:formatCode>
                <c:ptCount val="10"/>
                <c:pt idx="0">
                  <c:v>48.525003739671682</c:v>
                </c:pt>
                <c:pt idx="1">
                  <c:v>48.394502350049017</c:v>
                </c:pt>
                <c:pt idx="2">
                  <c:v>48.264351926142609</c:v>
                </c:pt>
                <c:pt idx="3">
                  <c:v>48.134551524077935</c:v>
                </c:pt>
                <c:pt idx="4">
                  <c:v>48.005100202518939</c:v>
                </c:pt>
                <c:pt idx="5">
                  <c:v>47.875997022661132</c:v>
                </c:pt>
                <c:pt idx="6">
                  <c:v>47.747241048224851</c:v>
                </c:pt>
                <c:pt idx="7">
                  <c:v>47.618831345448314</c:v>
                </c:pt>
                <c:pt idx="8">
                  <c:v>47.490766983081102</c:v>
                </c:pt>
                <c:pt idx="9">
                  <c:v>47.363047032377182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05C-4273-ADA0-81303B56DD84}"/>
            </c:ext>
          </c:extLst>
        </c:ser>
        <c:ser>
          <c:idx val="5"/>
          <c:order val="5"/>
          <c:tx>
            <c:strRef>
              <c:f>'M1 Population'!$E$9</c:f>
              <c:strCache>
                <c:ptCount val="1"/>
                <c:pt idx="0">
                  <c:v>40 - 44 Years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Population'!$F$3:$O$3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'M1 Population'!$F$9:$O$9</c:f>
              <c:numCache>
                <c:formatCode>General</c:formatCode>
                <c:ptCount val="10"/>
                <c:pt idx="0">
                  <c:v>10.223881752982942</c:v>
                </c:pt>
                <c:pt idx="1">
                  <c:v>10.355572839256284</c:v>
                </c:pt>
                <c:pt idx="2">
                  <c:v>10.488960203188432</c:v>
                </c:pt>
                <c:pt idx="3">
                  <c:v>10.624065694078203</c:v>
                </c:pt>
                <c:pt idx="4">
                  <c:v>10.760911442659394</c:v>
                </c:pt>
                <c:pt idx="5">
                  <c:v>10.899519864725855</c:v>
                </c:pt>
                <c:pt idx="6">
                  <c:v>11.039913664803288</c:v>
                </c:pt>
                <c:pt idx="7">
                  <c:v>11.182115839868281</c:v>
                </c:pt>
                <c:pt idx="8">
                  <c:v>11.326149683115437</c:v>
                </c:pt>
                <c:pt idx="9">
                  <c:v>11.472038787772654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05C-4273-ADA0-81303B56DD84}"/>
            </c:ext>
          </c:extLst>
        </c:ser>
        <c:ser>
          <c:idx val="6"/>
          <c:order val="6"/>
          <c:tx>
            <c:strRef>
              <c:f>'M1 Population'!$E$10</c:f>
              <c:strCache>
                <c:ptCount val="1"/>
                <c:pt idx="0">
                  <c:v>45 - 49 Years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'M1 Population'!$F$3:$O$3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'M1 Population'!$F$10:$O$10</c:f>
              <c:numCache>
                <c:formatCode>General</c:formatCode>
                <c:ptCount val="10"/>
                <c:pt idx="0">
                  <c:v>0.56881686399403708</c:v>
                </c:pt>
                <c:pt idx="1">
                  <c:v>0.59158904048437844</c:v>
                </c:pt>
                <c:pt idx="2">
                  <c:v>0.61527288478018183</c:v>
                </c:pt>
                <c:pt idx="3">
                  <c:v>0.63990489485026769</c:v>
                </c:pt>
                <c:pt idx="4">
                  <c:v>0.66552302983354483</c:v>
                </c:pt>
                <c:pt idx="5">
                  <c:v>0.69216676853591041</c:v>
                </c:pt>
                <c:pt idx="6">
                  <c:v>0.71987717026903186</c:v>
                </c:pt>
                <c:pt idx="7">
                  <c:v>0.74869693812476423</c:v>
                </c:pt>
                <c:pt idx="8">
                  <c:v>0.7786704847827165</c:v>
                </c:pt>
                <c:pt idx="9">
                  <c:v>0.80984400095237352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05C-4273-ADA0-81303B56D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830280"/>
        <c:axId val="523832840"/>
      </c:lineChart>
      <c:catAx>
        <c:axId val="52383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32840"/>
        <c:crosses val="autoZero"/>
        <c:auto val="1"/>
        <c:lblAlgn val="ctr"/>
        <c:lblOffset val="100"/>
        <c:noMultiLvlLbl val="0"/>
      </c:catAx>
      <c:valAx>
        <c:axId val="523832840"/>
        <c:scaling>
          <c:orientation val="minMax"/>
          <c:max val="75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3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Pyramid (2025 vs. 2035)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2025 Pop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'M1 Demand Driver'!$O$4:$O$23</c:f>
              <c:strCache>
                <c:ptCount val="20"/>
                <c:pt idx="0">
                  <c:v>Under 1 Year</c:v>
                </c:pt>
                <c:pt idx="1">
                  <c:v>1 - 4 Years</c:v>
                </c:pt>
                <c:pt idx="2">
                  <c:v>5 - 9 Years</c:v>
                </c:pt>
                <c:pt idx="3">
                  <c:v>10 - 14 Years</c:v>
                </c:pt>
                <c:pt idx="4">
                  <c:v>15 - 19 Years</c:v>
                </c:pt>
                <c:pt idx="5">
                  <c:v>20 - 24 Years</c:v>
                </c:pt>
                <c:pt idx="6">
                  <c:v>25 - 29 Years</c:v>
                </c:pt>
                <c:pt idx="7">
                  <c:v>30 - 34 Years</c:v>
                </c:pt>
                <c:pt idx="8">
                  <c:v>35 - 39 Years</c:v>
                </c:pt>
                <c:pt idx="9">
                  <c:v>40 - 44 Years</c:v>
                </c:pt>
                <c:pt idx="10">
                  <c:v>45 - 49 Years</c:v>
                </c:pt>
                <c:pt idx="11">
                  <c:v>50 - 54 Years</c:v>
                </c:pt>
                <c:pt idx="12">
                  <c:v>55 - 59 Years</c:v>
                </c:pt>
                <c:pt idx="13">
                  <c:v>60 - 64 Years</c:v>
                </c:pt>
                <c:pt idx="14">
                  <c:v>65 - 69 Years</c:v>
                </c:pt>
                <c:pt idx="15">
                  <c:v>70 - 74 Years</c:v>
                </c:pt>
                <c:pt idx="16">
                  <c:v>75 - 79 Years</c:v>
                </c:pt>
                <c:pt idx="17">
                  <c:v>80 - 84 Years</c:v>
                </c:pt>
                <c:pt idx="18">
                  <c:v>85 - 89 Years</c:v>
                </c:pt>
                <c:pt idx="19">
                  <c:v>90 Years &amp; Over</c:v>
                </c:pt>
              </c:strCache>
            </c:strRef>
          </c:cat>
          <c:val>
            <c:numRef>
              <c:f>'M1 Demand Driver'!$Q$4:$Q$23</c:f>
              <c:numCache>
                <c:formatCode>0</c:formatCode>
                <c:ptCount val="20"/>
                <c:pt idx="0">
                  <c:v>-29422</c:v>
                </c:pt>
                <c:pt idx="1">
                  <c:v>-136128</c:v>
                </c:pt>
                <c:pt idx="2">
                  <c:v>-199813</c:v>
                </c:pt>
                <c:pt idx="3">
                  <c:v>-206577</c:v>
                </c:pt>
                <c:pt idx="4">
                  <c:v>-211394</c:v>
                </c:pt>
                <c:pt idx="5">
                  <c:v>-218686</c:v>
                </c:pt>
                <c:pt idx="6">
                  <c:v>-263735</c:v>
                </c:pt>
                <c:pt idx="7">
                  <c:v>-319836</c:v>
                </c:pt>
                <c:pt idx="8">
                  <c:v>-320125</c:v>
                </c:pt>
                <c:pt idx="9">
                  <c:v>-311772</c:v>
                </c:pt>
                <c:pt idx="10">
                  <c:v>-302015</c:v>
                </c:pt>
                <c:pt idx="11">
                  <c:v>-308978</c:v>
                </c:pt>
                <c:pt idx="12">
                  <c:v>-289783</c:v>
                </c:pt>
                <c:pt idx="13">
                  <c:v>-296675</c:v>
                </c:pt>
                <c:pt idx="14">
                  <c:v>-272419</c:v>
                </c:pt>
                <c:pt idx="15">
                  <c:v>-214617</c:v>
                </c:pt>
                <c:pt idx="16">
                  <c:v>-152820</c:v>
                </c:pt>
                <c:pt idx="17">
                  <c:v>-74810</c:v>
                </c:pt>
                <c:pt idx="18">
                  <c:v>-47550</c:v>
                </c:pt>
                <c:pt idx="19">
                  <c:v>-27360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E-42E8-8D59-F88961CC0A38}"/>
            </c:ext>
          </c:extLst>
        </c:ser>
        <c:ser>
          <c:idx val="1"/>
          <c:order val="1"/>
          <c:tx>
            <c:strRef>
              <c:f>'M1 Demand Driver'!$R$3</c:f>
              <c:strCache>
                <c:ptCount val="1"/>
                <c:pt idx="0">
                  <c:v>2035 Pop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'M1 Demand Driver'!$O$4:$O$23</c:f>
              <c:strCache>
                <c:ptCount val="20"/>
                <c:pt idx="0">
                  <c:v>Under 1 Year</c:v>
                </c:pt>
                <c:pt idx="1">
                  <c:v>1 - 4 Years</c:v>
                </c:pt>
                <c:pt idx="2">
                  <c:v>5 - 9 Years</c:v>
                </c:pt>
                <c:pt idx="3">
                  <c:v>10 - 14 Years</c:v>
                </c:pt>
                <c:pt idx="4">
                  <c:v>15 - 19 Years</c:v>
                </c:pt>
                <c:pt idx="5">
                  <c:v>20 - 24 Years</c:v>
                </c:pt>
                <c:pt idx="6">
                  <c:v>25 - 29 Years</c:v>
                </c:pt>
                <c:pt idx="7">
                  <c:v>30 - 34 Years</c:v>
                </c:pt>
                <c:pt idx="8">
                  <c:v>35 - 39 Years</c:v>
                </c:pt>
                <c:pt idx="9">
                  <c:v>40 - 44 Years</c:v>
                </c:pt>
                <c:pt idx="10">
                  <c:v>45 - 49 Years</c:v>
                </c:pt>
                <c:pt idx="11">
                  <c:v>50 - 54 Years</c:v>
                </c:pt>
                <c:pt idx="12">
                  <c:v>55 - 59 Years</c:v>
                </c:pt>
                <c:pt idx="13">
                  <c:v>60 - 64 Years</c:v>
                </c:pt>
                <c:pt idx="14">
                  <c:v>65 - 69 Years</c:v>
                </c:pt>
                <c:pt idx="15">
                  <c:v>70 - 74 Years</c:v>
                </c:pt>
                <c:pt idx="16">
                  <c:v>75 - 79 Years</c:v>
                </c:pt>
                <c:pt idx="17">
                  <c:v>80 - 84 Years</c:v>
                </c:pt>
                <c:pt idx="18">
                  <c:v>85 - 89 Years</c:v>
                </c:pt>
                <c:pt idx="19">
                  <c:v>90 Years &amp; Over</c:v>
                </c:pt>
              </c:strCache>
            </c:strRef>
          </c:cat>
          <c:val>
            <c:numRef>
              <c:f>'M1 Demand Driver'!$R$4:$R$23</c:f>
              <c:numCache>
                <c:formatCode>0</c:formatCode>
                <c:ptCount val="20"/>
                <c:pt idx="0">
                  <c:v>22235.905801048051</c:v>
                </c:pt>
                <c:pt idx="1">
                  <c:v>122678.31658793814</c:v>
                </c:pt>
                <c:pt idx="2">
                  <c:v>137948.82140635361</c:v>
                </c:pt>
                <c:pt idx="3">
                  <c:v>159634.28699778588</c:v>
                </c:pt>
                <c:pt idx="4">
                  <c:v>182111.15036439768</c:v>
                </c:pt>
                <c:pt idx="5">
                  <c:v>198992.99929403639</c:v>
                </c:pt>
                <c:pt idx="6">
                  <c:v>214016.30580075827</c:v>
                </c:pt>
                <c:pt idx="7">
                  <c:v>237366.29228986151</c:v>
                </c:pt>
                <c:pt idx="8">
                  <c:v>268122.61625479301</c:v>
                </c:pt>
                <c:pt idx="9">
                  <c:v>293560.07730213483</c:v>
                </c:pt>
                <c:pt idx="10">
                  <c:v>304803.18503664096</c:v>
                </c:pt>
                <c:pt idx="11">
                  <c:v>304918.80468901066</c:v>
                </c:pt>
                <c:pt idx="12">
                  <c:v>299182.72107480053</c:v>
                </c:pt>
                <c:pt idx="13">
                  <c:v>290184.97308609943</c:v>
                </c:pt>
                <c:pt idx="14">
                  <c:v>277400.68980933313</c:v>
                </c:pt>
                <c:pt idx="15">
                  <c:v>254444.19573140895</c:v>
                </c:pt>
                <c:pt idx="16">
                  <c:v>213742.85522266425</c:v>
                </c:pt>
                <c:pt idx="17">
                  <c:v>154911.71461962746</c:v>
                </c:pt>
                <c:pt idx="18">
                  <c:v>91826.44812605335</c:v>
                </c:pt>
                <c:pt idx="19">
                  <c:v>69527.873754698099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9E-42E8-8D59-F88961CC0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273970695"/>
        <c:axId val="273978375"/>
      </c:barChart>
      <c:catAx>
        <c:axId val="273970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978375"/>
        <c:crosses val="autoZero"/>
        <c:auto val="1"/>
        <c:lblAlgn val="ctr"/>
        <c:lblOffset val="100"/>
        <c:noMultiLvlLbl val="0"/>
      </c:catAx>
      <c:valAx>
        <c:axId val="273978375"/>
        <c:scaling>
          <c:orientation val="minMax"/>
          <c:min val="-3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97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Dependency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'M1 Demand Driver'!$A$30</c:f>
              <c:strCache>
                <c:ptCount val="1"/>
                <c:pt idx="0">
                  <c:v>Dependency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4C89-4671-AED4-22EB97BAD26A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89-4671-AED4-22EB97BAD26A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4C89-4671-AED4-22EB97BAD26A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89-4671-AED4-22EB97BAD26A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89-4671-AED4-22EB97BAD26A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89-4671-AED4-22EB97BAD26A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89-4671-AED4-22EB97BAD26A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89-4671-AED4-22EB97BAD26A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89-4671-AED4-22EB97BAD26A}"/>
              </c:ext>
            </c:extLst>
          </c:dPt>
          <c:cat>
            <c:numRef>
              <c:f>'M1 Demand Driver'!$B$27:$AF$27</c:f>
              <c:numCache>
                <c:formatCode>General</c:formatCode>
                <c:ptCount val="3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</c:numCache>
            </c:numRef>
          </c:cat>
          <c:val>
            <c:numRef>
              <c:f>'M1 Demand Driver'!$B$30:$AF$30</c:f>
              <c:numCache>
                <c:formatCode>#,##0</c:formatCode>
                <c:ptCount val="31"/>
                <c:pt idx="0">
                  <c:v>11.220024695102138</c:v>
                </c:pt>
                <c:pt idx="1">
                  <c:v>11.580575739989305</c:v>
                </c:pt>
                <c:pt idx="2">
                  <c:v>11.757662549628959</c:v>
                </c:pt>
                <c:pt idx="3">
                  <c:v>11.891644781782539</c:v>
                </c:pt>
                <c:pt idx="4">
                  <c:v>12.066699976936231</c:v>
                </c:pt>
                <c:pt idx="5">
                  <c:v>12.176902939086158</c:v>
                </c:pt>
                <c:pt idx="6">
                  <c:v>12.595804839229318</c:v>
                </c:pt>
                <c:pt idx="7">
                  <c:v>13.459014691893936</c:v>
                </c:pt>
                <c:pt idx="8">
                  <c:v>14.315994182093123</c:v>
                </c:pt>
                <c:pt idx="9">
                  <c:v>15.244546184404188</c:v>
                </c:pt>
                <c:pt idx="10">
                  <c:v>16.183956684597405</c:v>
                </c:pt>
                <c:pt idx="11">
                  <c:v>17.108769836744361</c:v>
                </c:pt>
                <c:pt idx="12">
                  <c:v>18.100183456799723</c:v>
                </c:pt>
                <c:pt idx="13">
                  <c:v>19.187232187104357</c:v>
                </c:pt>
                <c:pt idx="14">
                  <c:v>20.384983492046359</c:v>
                </c:pt>
                <c:pt idx="15">
                  <c:v>21.620221590661153</c:v>
                </c:pt>
                <c:pt idx="16">
                  <c:v>23.063502157980487</c:v>
                </c:pt>
                <c:pt idx="17">
                  <c:v>24.104693379476355</c:v>
                </c:pt>
                <c:pt idx="18">
                  <c:v>25.190045720457771</c:v>
                </c:pt>
                <c:pt idx="19">
                  <c:v>26.45286270778114</c:v>
                </c:pt>
                <c:pt idx="20">
                  <c:v>27.772644309758814</c:v>
                </c:pt>
                <c:pt idx="21">
                  <c:v>29.277905981028319</c:v>
                </c:pt>
                <c:pt idx="22">
                  <c:v>30.719363671937678</c:v>
                </c:pt>
                <c:pt idx="23">
                  <c:v>32.111420813367531</c:v>
                </c:pt>
                <c:pt idx="24">
                  <c:v>33.462994957559999</c:v>
                </c:pt>
                <c:pt idx="25">
                  <c:v>34.779715133424006</c:v>
                </c:pt>
                <c:pt idx="26">
                  <c:v>36.065297826173051</c:v>
                </c:pt>
                <c:pt idx="27">
                  <c:v>37.322469710197169</c:v>
                </c:pt>
                <c:pt idx="28">
                  <c:v>38.553557327343398</c:v>
                </c:pt>
                <c:pt idx="29">
                  <c:v>39.760833686315578</c:v>
                </c:pt>
                <c:pt idx="30">
                  <c:v>40.946690091563809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E-41AD-8C7C-7F4729A5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970888"/>
        <c:axId val="1734989832"/>
      </c:lineChart>
      <c:catAx>
        <c:axId val="1734970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89832"/>
        <c:crosses val="autoZero"/>
        <c:auto val="1"/>
        <c:lblAlgn val="ctr"/>
        <c:lblOffset val="100"/>
        <c:noMultiLvlLbl val="0"/>
      </c:catAx>
      <c:valAx>
        <c:axId val="1734989832"/>
        <c:scaling>
          <c:orientation val="minMax"/>
          <c:max val="42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seniors per 100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70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Past vs Future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'M1 Demand Driver'!$B$32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'M1 Demand Driver'!$A$33:$A$63</c:f>
              <c:numCache>
                <c:formatCode>General</c:formatCode>
                <c:ptCount val="3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</c:numCache>
            </c:numRef>
          </c:cat>
          <c:val>
            <c:numRef>
              <c:f>'M1 Demand Driver'!$B$33:$B$63</c:f>
              <c:numCache>
                <c:formatCode>#,##0</c:formatCode>
                <c:ptCount val="31"/>
                <c:pt idx="0">
                  <c:v>3467814</c:v>
                </c:pt>
                <c:pt idx="1">
                  <c:v>3525894</c:v>
                </c:pt>
                <c:pt idx="2">
                  <c:v>3583082</c:v>
                </c:pt>
                <c:pt idx="3">
                  <c:v>3642659</c:v>
                </c:pt>
                <c:pt idx="4">
                  <c:v>3733876</c:v>
                </c:pt>
                <c:pt idx="5">
                  <c:v>3771721</c:v>
                </c:pt>
                <c:pt idx="6">
                  <c:v>3789251</c:v>
                </c:pt>
                <c:pt idx="7">
                  <c:v>3818205</c:v>
                </c:pt>
                <c:pt idx="8">
                  <c:v>3844751</c:v>
                </c:pt>
                <c:pt idx="9">
                  <c:v>3870739</c:v>
                </c:pt>
                <c:pt idx="10">
                  <c:v>3902690</c:v>
                </c:pt>
                <c:pt idx="11">
                  <c:v>3933559</c:v>
                </c:pt>
                <c:pt idx="12">
                  <c:v>3965796</c:v>
                </c:pt>
                <c:pt idx="13">
                  <c:v>3994283</c:v>
                </c:pt>
                <c:pt idx="14">
                  <c:v>4026209</c:v>
                </c:pt>
                <c:pt idx="15">
                  <c:v>4044210</c:v>
                </c:pt>
                <c:pt idx="16">
                  <c:v>3986842</c:v>
                </c:pt>
                <c:pt idx="17">
                  <c:v>4073239</c:v>
                </c:pt>
                <c:pt idx="18">
                  <c:v>4149253</c:v>
                </c:pt>
                <c:pt idx="19">
                  <c:v>4180868</c:v>
                </c:pt>
                <c:pt idx="20">
                  <c:v>4204515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8-4FAC-AE47-490C135C30A8}"/>
            </c:ext>
          </c:extLst>
        </c:ser>
        <c:ser>
          <c:idx val="1"/>
          <c:order val="1"/>
          <c:tx>
            <c:strRef>
              <c:f>'M1 Demand Driver'!$C$32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flat" cmpd="sng" algn="ctr">
              <a:solidFill>
                <a:srgbClr val="ED7D31"/>
              </a:solidFill>
              <a:prstDash val="dash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'M1 Demand Driver'!$A$33:$A$63</c:f>
              <c:numCache>
                <c:formatCode>General</c:formatCode>
                <c:ptCount val="3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  <c:pt idx="26">
                  <c:v>2031</c:v>
                </c:pt>
                <c:pt idx="27">
                  <c:v>2032</c:v>
                </c:pt>
                <c:pt idx="28">
                  <c:v>2033</c:v>
                </c:pt>
                <c:pt idx="29">
                  <c:v>2034</c:v>
                </c:pt>
                <c:pt idx="30">
                  <c:v>2035</c:v>
                </c:pt>
              </c:numCache>
            </c:numRef>
          </c:cat>
          <c:val>
            <c:numRef>
              <c:f>'M1 Demand Driver'!$C$33:$C$63</c:f>
              <c:numCache>
                <c:formatCode>General</c:formatCode>
                <c:ptCount val="31"/>
                <c:pt idx="20" formatCode="#,##0">
                  <c:v>4204515</c:v>
                </c:pt>
                <c:pt idx="21" formatCode="#,##0">
                  <c:v>4204434.3867392102</c:v>
                </c:pt>
                <c:pt idx="22" formatCode="#,##0">
                  <c:v>4201944.9587211395</c:v>
                </c:pt>
                <c:pt idx="23" formatCode="#,##0">
                  <c:v>4197066.7773609962</c:v>
                </c:pt>
                <c:pt idx="24" formatCode="#,##0">
                  <c:v>4189808.2713679094</c:v>
                </c:pt>
                <c:pt idx="25" formatCode="#,##0">
                  <c:v>4180178.9179879623</c:v>
                </c:pt>
                <c:pt idx="26" formatCode="#,##0">
                  <c:v>4168197.5558233554</c:v>
                </c:pt>
                <c:pt idx="27" formatCode="#,##0">
                  <c:v>4153896.3324602423</c:v>
                </c:pt>
                <c:pt idx="28" formatCode="#,##0">
                  <c:v>4137321.9598965519</c:v>
                </c:pt>
                <c:pt idx="29" formatCode="#,##0">
                  <c:v>4118535.3396630674</c:v>
                </c:pt>
                <c:pt idx="30" formatCode="#,##0">
                  <c:v>4097610.233249445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B8-4FAC-AE47-490C135C3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979783"/>
        <c:axId val="1915992071"/>
      </c:lineChart>
      <c:catAx>
        <c:axId val="1915979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92071"/>
        <c:crosses val="autoZero"/>
        <c:auto val="1"/>
        <c:lblAlgn val="ctr"/>
        <c:lblOffset val="100"/>
        <c:noMultiLvlLbl val="0"/>
      </c:catAx>
      <c:valAx>
        <c:axId val="1915992071"/>
        <c:scaling>
          <c:orientation val="minMax"/>
          <c:max val="4400000"/>
          <c:min val="32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7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Acute Hospital Admissions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'M2 HAR'!$A$41</c:f>
              <c:strCache>
                <c:ptCount val="1"/>
                <c:pt idx="0">
                  <c:v>    0 - 14 Years Old (Projected)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'M2 HAR'!$B$31:$AE$31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HAR'!$B$41:$M$41</c:f>
              <c:numCache>
                <c:formatCode>0.0</c:formatCode>
                <c:ptCount val="12"/>
                <c:pt idx="0">
                  <c:v>328.69122807017538</c:v>
                </c:pt>
                <c:pt idx="1">
                  <c:v>323.68298245614005</c:v>
                </c:pt>
                <c:pt idx="2">
                  <c:v>318.67473684210472</c:v>
                </c:pt>
                <c:pt idx="3">
                  <c:v>313.66649122806939</c:v>
                </c:pt>
                <c:pt idx="4">
                  <c:v>308.65824561403497</c:v>
                </c:pt>
                <c:pt idx="5">
                  <c:v>303.64999999999964</c:v>
                </c:pt>
                <c:pt idx="6">
                  <c:v>298.6417543859643</c:v>
                </c:pt>
                <c:pt idx="7">
                  <c:v>293.63350877192897</c:v>
                </c:pt>
                <c:pt idx="8">
                  <c:v>288.62526315789455</c:v>
                </c:pt>
                <c:pt idx="9">
                  <c:v>283.61701754385922</c:v>
                </c:pt>
                <c:pt idx="10">
                  <c:v>278.60877192982389</c:v>
                </c:pt>
                <c:pt idx="11">
                  <c:v>254.9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B-BB45-B63F-D8888E19AB94}"/>
            </c:ext>
          </c:extLst>
        </c:ser>
        <c:ser>
          <c:idx val="1"/>
          <c:order val="1"/>
          <c:tx>
            <c:strRef>
              <c:f>'M2 HAR'!$A$42</c:f>
              <c:strCache>
                <c:ptCount val="1"/>
                <c:pt idx="0">
                  <c:v>    15 - 64 Years Old (Projected)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'M2 HAR'!$B$31:$AE$31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HAR'!$B$42:$M$42</c:f>
              <c:numCache>
                <c:formatCode>0.0</c:formatCode>
                <c:ptCount val="12"/>
                <c:pt idx="0">
                  <c:v>202.65273631942546</c:v>
                </c:pt>
                <c:pt idx="1">
                  <c:v>200.43970173984837</c:v>
                </c:pt>
                <c:pt idx="2">
                  <c:v>198.22017143331777</c:v>
                </c:pt>
                <c:pt idx="3">
                  <c:v>195.994467148284</c:v>
                </c:pt>
                <c:pt idx="4">
                  <c:v>193.76292359596891</c:v>
                </c:pt>
                <c:pt idx="5">
                  <c:v>191.52587456742407</c:v>
                </c:pt>
                <c:pt idx="6">
                  <c:v>189.28365040103384</c:v>
                </c:pt>
                <c:pt idx="7">
                  <c:v>187.03659412768559</c:v>
                </c:pt>
                <c:pt idx="8">
                  <c:v>184.78510539745406</c:v>
                </c:pt>
                <c:pt idx="9">
                  <c:v>182.52972387714965</c:v>
                </c:pt>
                <c:pt idx="10">
                  <c:v>180.2712689058838</c:v>
                </c:pt>
                <c:pt idx="11">
                  <c:v>168.8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1B-BB45-B63F-D8888E19AB94}"/>
            </c:ext>
          </c:extLst>
        </c:ser>
        <c:ser>
          <c:idx val="2"/>
          <c:order val="2"/>
          <c:tx>
            <c:strRef>
              <c:f>'M2 HAR'!$A$43</c:f>
              <c:strCache>
                <c:ptCount val="1"/>
                <c:pt idx="0">
                  <c:v>    65 Years Old &amp; Above (Projected)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B-BB45-B63F-D8888E19AB94}"/>
              </c:ext>
            </c:extLst>
          </c:dPt>
          <c:cat>
            <c:numRef>
              <c:f>'M2 HAR'!$B$31:$AE$31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HAR'!$B$43:$M$43</c:f>
              <c:numCache>
                <c:formatCode>0.0</c:formatCode>
                <c:ptCount val="12"/>
                <c:pt idx="0">
                  <c:v>657.57838523101714</c:v>
                </c:pt>
                <c:pt idx="1">
                  <c:v>659.21829898974227</c:v>
                </c:pt>
                <c:pt idx="2">
                  <c:v>660.8540510270775</c:v>
                </c:pt>
                <c:pt idx="3">
                  <c:v>662.48553134914891</c:v>
                </c:pt>
                <c:pt idx="4">
                  <c:v>664.11262878582443</c:v>
                </c:pt>
                <c:pt idx="5">
                  <c:v>665.73523098052078</c:v>
                </c:pt>
                <c:pt idx="6">
                  <c:v>667.35322437993329</c:v>
                </c:pt>
                <c:pt idx="7">
                  <c:v>668.96649422367796</c:v>
                </c:pt>
                <c:pt idx="8">
                  <c:v>670.57492453386135</c:v>
                </c:pt>
                <c:pt idx="9">
                  <c:v>672.17839810456155</c:v>
                </c:pt>
                <c:pt idx="10">
                  <c:v>673.77679649122797</c:v>
                </c:pt>
                <c:pt idx="11">
                  <c:v>671.3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1B-BB45-B63F-D8888E19AB94}"/>
            </c:ext>
          </c:extLst>
        </c:ser>
        <c:ser>
          <c:idx val="3"/>
          <c:order val="3"/>
          <c:tx>
            <c:strRef>
              <c:f>'M2 HAR'!$A$49</c:f>
              <c:strCache>
                <c:ptCount val="1"/>
                <c:pt idx="0">
                  <c:v>    0 - 14 Years Old (Actual)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'M2 HAR'!$B$31:$AE$31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HAR'!$B$49:$AE$49</c:f>
              <c:numCache>
                <c:formatCode>General</c:formatCode>
                <c:ptCount val="30"/>
                <c:pt idx="11">
                  <c:v>254.9</c:v>
                </c:pt>
                <c:pt idx="12">
                  <c:v>261.3</c:v>
                </c:pt>
                <c:pt idx="13">
                  <c:v>263.8</c:v>
                </c:pt>
                <c:pt idx="14">
                  <c:v>229.10000000000002</c:v>
                </c:pt>
                <c:pt idx="15">
                  <c:v>208.9</c:v>
                </c:pt>
                <c:pt idx="16">
                  <c:v>280.20000000000005</c:v>
                </c:pt>
                <c:pt idx="17">
                  <c:v>272.39999999999998</c:v>
                </c:pt>
                <c:pt idx="18">
                  <c:v>267</c:v>
                </c:pt>
                <c:pt idx="19">
                  <c:v>263.60000000000002</c:v>
                </c:pt>
                <c:pt idx="20">
                  <c:v>240.5</c:v>
                </c:pt>
                <c:pt idx="21">
                  <c:v>236</c:v>
                </c:pt>
                <c:pt idx="22">
                  <c:v>222.2</c:v>
                </c:pt>
                <c:pt idx="23">
                  <c:v>219.7</c:v>
                </c:pt>
                <c:pt idx="24">
                  <c:v>207.2</c:v>
                </c:pt>
                <c:pt idx="25">
                  <c:v>192.3</c:v>
                </c:pt>
                <c:pt idx="26">
                  <c:v>185</c:v>
                </c:pt>
                <c:pt idx="27">
                  <c:v>185.8</c:v>
                </c:pt>
                <c:pt idx="28">
                  <c:v>178.2</c:v>
                </c:pt>
                <c:pt idx="29">
                  <c:v>173.9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1B-BB45-B63F-D8888E19AB94}"/>
            </c:ext>
          </c:extLst>
        </c:ser>
        <c:ser>
          <c:idx val="4"/>
          <c:order val="4"/>
          <c:tx>
            <c:strRef>
              <c:f>'M2 HAR'!$A$50</c:f>
              <c:strCache>
                <c:ptCount val="1"/>
                <c:pt idx="0">
                  <c:v>    15 - 64 Years Old (Actual)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'M2 HAR'!$B$31:$AE$31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HAR'!$B$50:$AE$50</c:f>
              <c:numCache>
                <c:formatCode>General</c:formatCode>
                <c:ptCount val="30"/>
                <c:pt idx="11">
                  <c:v>168.8</c:v>
                </c:pt>
                <c:pt idx="12">
                  <c:v>167.6</c:v>
                </c:pt>
                <c:pt idx="13">
                  <c:v>164.8</c:v>
                </c:pt>
                <c:pt idx="14">
                  <c:v>173</c:v>
                </c:pt>
                <c:pt idx="15">
                  <c:v>165.5</c:v>
                </c:pt>
                <c:pt idx="16">
                  <c:v>185.3</c:v>
                </c:pt>
                <c:pt idx="17">
                  <c:v>176.6</c:v>
                </c:pt>
                <c:pt idx="18">
                  <c:v>174.39999999999998</c:v>
                </c:pt>
                <c:pt idx="19">
                  <c:v>170.1</c:v>
                </c:pt>
                <c:pt idx="20">
                  <c:v>151.6</c:v>
                </c:pt>
                <c:pt idx="21">
                  <c:v>151</c:v>
                </c:pt>
                <c:pt idx="22">
                  <c:v>148.30000000000001</c:v>
                </c:pt>
                <c:pt idx="23">
                  <c:v>143.9</c:v>
                </c:pt>
                <c:pt idx="24">
                  <c:v>141.10000000000002</c:v>
                </c:pt>
                <c:pt idx="25">
                  <c:v>138</c:v>
                </c:pt>
                <c:pt idx="26">
                  <c:v>136.19999999999999</c:v>
                </c:pt>
                <c:pt idx="27">
                  <c:v>137.6</c:v>
                </c:pt>
                <c:pt idx="28">
                  <c:v>141.19999999999999</c:v>
                </c:pt>
                <c:pt idx="29">
                  <c:v>141.4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1B-BB45-B63F-D8888E19AB94}"/>
            </c:ext>
          </c:extLst>
        </c:ser>
        <c:ser>
          <c:idx val="5"/>
          <c:order val="5"/>
          <c:tx>
            <c:strRef>
              <c:f>'M2 HAR'!$A$51</c:f>
              <c:strCache>
                <c:ptCount val="1"/>
                <c:pt idx="0">
                  <c:v>    65 Years Old &amp; Above (Actual)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'M2 HAR'!$B$31:$AE$31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HAR'!$B$51:$AE$51</c:f>
              <c:numCache>
                <c:formatCode>General</c:formatCode>
                <c:ptCount val="30"/>
                <c:pt idx="11">
                  <c:v>671.3</c:v>
                </c:pt>
                <c:pt idx="12">
                  <c:v>681.09999999999991</c:v>
                </c:pt>
                <c:pt idx="13">
                  <c:v>675.5</c:v>
                </c:pt>
                <c:pt idx="14">
                  <c:v>634.4</c:v>
                </c:pt>
                <c:pt idx="15">
                  <c:v>613</c:v>
                </c:pt>
                <c:pt idx="16">
                  <c:v>695.4</c:v>
                </c:pt>
                <c:pt idx="17">
                  <c:v>682</c:v>
                </c:pt>
                <c:pt idx="18">
                  <c:v>688.90000000000009</c:v>
                </c:pt>
                <c:pt idx="19">
                  <c:v>680.8</c:v>
                </c:pt>
                <c:pt idx="20">
                  <c:v>640.5</c:v>
                </c:pt>
                <c:pt idx="21">
                  <c:v>647.59999999999991</c:v>
                </c:pt>
                <c:pt idx="22">
                  <c:v>646.29999999999995</c:v>
                </c:pt>
                <c:pt idx="23">
                  <c:v>651.6</c:v>
                </c:pt>
                <c:pt idx="24">
                  <c:v>653.20000000000005</c:v>
                </c:pt>
                <c:pt idx="25">
                  <c:v>634.90000000000009</c:v>
                </c:pt>
                <c:pt idx="26">
                  <c:v>610.70000000000005</c:v>
                </c:pt>
                <c:pt idx="27">
                  <c:v>628</c:v>
                </c:pt>
                <c:pt idx="28">
                  <c:v>640.20000000000005</c:v>
                </c:pt>
                <c:pt idx="29">
                  <c:v>633.59999999999991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1B-BB45-B63F-D8888E19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227519"/>
        <c:axId val="1785293311"/>
      </c:lineChart>
      <c:catAx>
        <c:axId val="18172275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85293311"/>
        <c:crosses val="autoZero"/>
        <c:auto val="1"/>
        <c:lblAlgn val="ctr"/>
        <c:lblOffset val="100"/>
        <c:noMultiLvlLbl val="0"/>
      </c:catAx>
      <c:valAx>
        <c:axId val="17852933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1722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Beds</a:t>
            </a:r>
            <a:r>
              <a:rPr lang="zh-CN" altLang="en-US"/>
              <a:t> </a:t>
            </a:r>
            <a:r>
              <a:rPr lang="en-US" altLang="zh-CN"/>
              <a:t>in</a:t>
            </a:r>
            <a:r>
              <a:rPr lang="zh-CN" altLang="en-US"/>
              <a:t> </a:t>
            </a:r>
            <a:r>
              <a:rPr lang="en-US" altLang="zh-CN"/>
              <a:t>Public Acute Hospitals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'M2 Beds'!$A$29</c:f>
              <c:strCache>
                <c:ptCount val="1"/>
                <c:pt idx="0">
                  <c:v>Public Acute Hospitals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'M2 Beds'!$B$26:$AE$26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Beds'!$B$29:$N$29</c:f>
              <c:numCache>
                <c:formatCode>_(* #,##0_);_(* \(#,##0\);_(* "-"??_);_(@_)</c:formatCode>
                <c:ptCount val="13"/>
                <c:pt idx="0">
                  <c:v>17583</c:v>
                </c:pt>
                <c:pt idx="1">
                  <c:v>16983</c:v>
                </c:pt>
                <c:pt idx="2">
                  <c:v>16403</c:v>
                </c:pt>
                <c:pt idx="3">
                  <c:v>15843</c:v>
                </c:pt>
                <c:pt idx="4">
                  <c:v>15302</c:v>
                </c:pt>
                <c:pt idx="5">
                  <c:v>14780</c:v>
                </c:pt>
                <c:pt idx="6">
                  <c:v>14276</c:v>
                </c:pt>
                <c:pt idx="7">
                  <c:v>13789</c:v>
                </c:pt>
                <c:pt idx="8">
                  <c:v>13318</c:v>
                </c:pt>
                <c:pt idx="9">
                  <c:v>12863</c:v>
                </c:pt>
                <c:pt idx="10">
                  <c:v>12424</c:v>
                </c:pt>
                <c:pt idx="11">
                  <c:v>12000</c:v>
                </c:pt>
                <c:pt idx="12" formatCode="#,##0">
                  <c:v>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8-024B-8445-7B1833F549F3}"/>
            </c:ext>
          </c:extLst>
        </c:ser>
        <c:ser>
          <c:idx val="2"/>
          <c:order val="1"/>
          <c:tx>
            <c:strRef>
              <c:f>'M2 Beds'!$A$30</c:f>
              <c:strCache>
                <c:ptCount val="1"/>
                <c:pt idx="0">
                  <c:v>Public Acute Hospitals - History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'M2 Beds'!$B$26:$AE$26</c:f>
              <c:numCache>
                <c:formatCode>General</c:formatCode>
                <c:ptCount val="30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</c:numCache>
            </c:numRef>
          </c:cat>
          <c:val>
            <c:numRef>
              <c:f>'M2 Beds'!$B$30:$AE$30</c:f>
              <c:numCache>
                <c:formatCode>General</c:formatCode>
                <c:ptCount val="30"/>
                <c:pt idx="12" formatCode="#,##0">
                  <c:v>9956</c:v>
                </c:pt>
                <c:pt idx="13" formatCode="#,##0">
                  <c:v>9820</c:v>
                </c:pt>
                <c:pt idx="14" formatCode="#,##0">
                  <c:v>9762</c:v>
                </c:pt>
                <c:pt idx="15" formatCode="#,##0">
                  <c:v>9610</c:v>
                </c:pt>
                <c:pt idx="16" formatCode="#,##0">
                  <c:v>9404</c:v>
                </c:pt>
                <c:pt idx="17" formatCode="#,##0">
                  <c:v>9071</c:v>
                </c:pt>
                <c:pt idx="18" formatCode="#,##0">
                  <c:v>8623</c:v>
                </c:pt>
                <c:pt idx="19" formatCode="#,##0">
                  <c:v>8561</c:v>
                </c:pt>
                <c:pt idx="20" formatCode="#,##0">
                  <c:v>8128</c:v>
                </c:pt>
                <c:pt idx="21" formatCode="#,##0">
                  <c:v>7652</c:v>
                </c:pt>
                <c:pt idx="22" formatCode="#,##0">
                  <c:v>7377</c:v>
                </c:pt>
                <c:pt idx="23" formatCode="#,##0">
                  <c:v>7170</c:v>
                </c:pt>
                <c:pt idx="24" formatCode="#,##0">
                  <c:v>6925</c:v>
                </c:pt>
                <c:pt idx="25" formatCode="#,##0">
                  <c:v>6871</c:v>
                </c:pt>
                <c:pt idx="26" formatCode="#,##0">
                  <c:v>6416</c:v>
                </c:pt>
                <c:pt idx="27" formatCode="#,##0">
                  <c:v>6255</c:v>
                </c:pt>
                <c:pt idx="28" formatCode="#,##0">
                  <c:v>6304</c:v>
                </c:pt>
                <c:pt idx="29" formatCode="#,##0">
                  <c:v>6256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8-024B-8445-7B1833F54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149888"/>
        <c:axId val="1515147648"/>
      </c:lineChart>
      <c:catAx>
        <c:axId val="151514988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15147648"/>
        <c:crosses val="autoZero"/>
        <c:auto val="1"/>
        <c:lblAlgn val="ctr"/>
        <c:lblOffset val="100"/>
        <c:noMultiLvlLbl val="0"/>
      </c:catAx>
      <c:valAx>
        <c:axId val="15151476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1514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 Occupancy Rate (BOR)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'M2 BOR &amp; Tradeoff analysis'!$G$26</c:f>
              <c:strCache>
                <c:ptCount val="1"/>
                <c:pt idx="0">
                  <c:v>Bed Occ. Rate (BOR)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cat>
            <c:numRef>
              <c:f>'M2 BOR &amp; Tradeoff analysis'!$A$27:$A$37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'M2 BOR &amp; Tradeoff analysis'!$G$27:$G$37</c:f>
              <c:numCache>
                <c:formatCode>0.00%</c:formatCode>
                <c:ptCount val="11"/>
                <c:pt idx="0">
                  <c:v>0.89578270202431065</c:v>
                </c:pt>
                <c:pt idx="1">
                  <c:v>0.88668758151412475</c:v>
                </c:pt>
                <c:pt idx="2">
                  <c:v>0.87554846913694107</c:v>
                </c:pt>
                <c:pt idx="3">
                  <c:v>0.86269859576151153</c:v>
                </c:pt>
                <c:pt idx="4">
                  <c:v>0.84842151496130569</c:v>
                </c:pt>
                <c:pt idx="5">
                  <c:v>0.8329193079203151</c:v>
                </c:pt>
                <c:pt idx="6">
                  <c:v>0.81633986678413439</c:v>
                </c:pt>
                <c:pt idx="7">
                  <c:v>0.79882064764822569</c:v>
                </c:pt>
                <c:pt idx="8">
                  <c:v>0.78051778860148191</c:v>
                </c:pt>
                <c:pt idx="9">
                  <c:v>0.76157804101609128</c:v>
                </c:pt>
                <c:pt idx="10">
                  <c:v>0.7421392237335096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4-2E4C-888D-43F321682141}"/>
            </c:ext>
          </c:extLst>
        </c:ser>
        <c:ser>
          <c:idx val="1"/>
          <c:order val="1"/>
          <c:tx>
            <c:v>BOR Warning Line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Lit>
              <c:formatCode>General</c:formatCode>
              <c:ptCount val="11"/>
              <c:pt idx="0">
                <c:v>0.8</c:v>
              </c:pt>
              <c:pt idx="1">
                <c:v>0.8</c:v>
              </c:pt>
              <c:pt idx="2">
                <c:v>0.8</c:v>
              </c:pt>
              <c:pt idx="3">
                <c:v>0.8</c:v>
              </c:pt>
              <c:pt idx="4">
                <c:v>0.8</c:v>
              </c:pt>
              <c:pt idx="5">
                <c:v>0.8</c:v>
              </c:pt>
              <c:pt idx="6">
                <c:v>0.8</c:v>
              </c:pt>
              <c:pt idx="7">
                <c:v>0.8</c:v>
              </c:pt>
              <c:pt idx="8">
                <c:v>0.8</c:v>
              </c:pt>
              <c:pt idx="9">
                <c:v>0.8</c:v>
              </c:pt>
              <c:pt idx="10">
                <c:v>0.8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D30-4A4B-B311-5FCF2CCAF606}"/>
            </c:ext>
          </c:extLst>
        </c:ser>
        <c:ser>
          <c:idx val="2"/>
          <c:order val="2"/>
          <c:tx>
            <c:v>BOR Critical Red Line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Lit>
              <c:formatCode>General</c:formatCode>
              <c:ptCount val="11"/>
              <c:pt idx="0">
                <c:v>0.85</c:v>
              </c:pt>
              <c:pt idx="1">
                <c:v>0.85</c:v>
              </c:pt>
              <c:pt idx="2">
                <c:v>0.85</c:v>
              </c:pt>
              <c:pt idx="3">
                <c:v>0.85</c:v>
              </c:pt>
              <c:pt idx="4">
                <c:v>0.85</c:v>
              </c:pt>
              <c:pt idx="5">
                <c:v>0.85</c:v>
              </c:pt>
              <c:pt idx="6">
                <c:v>0.85</c:v>
              </c:pt>
              <c:pt idx="7">
                <c:v>0.85</c:v>
              </c:pt>
              <c:pt idx="8">
                <c:v>0.85</c:v>
              </c:pt>
              <c:pt idx="9">
                <c:v>0.85</c:v>
              </c:pt>
              <c:pt idx="10">
                <c:v>0.85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D30-4A4B-B311-5FCF2CCA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751360"/>
        <c:axId val="1734741952"/>
      </c:lineChart>
      <c:catAx>
        <c:axId val="17347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34741952"/>
        <c:crosses val="autoZero"/>
        <c:auto val="1"/>
        <c:lblAlgn val="ctr"/>
        <c:lblOffset val="100"/>
        <c:noMultiLvlLbl val="0"/>
      </c:catAx>
      <c:valAx>
        <c:axId val="1734741952"/>
        <c:scaling>
          <c:orientation val="minMax"/>
          <c:min val="0.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3475136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Impact of Key Factors on 2035 BOR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'M2 Sensitivity Analysis'!$C$8</c:f>
              <c:strCache>
                <c:ptCount val="1"/>
                <c:pt idx="0">
                  <c:v>	ΔBOR (pp)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'M2 Sensitivity Analysis'!$A$9:$B$12</c:f>
              <c:multiLvlStrCache>
                <c:ptCount val="4"/>
                <c:lvl>
                  <c:pt idx="0">
                    <c:v>3.53% → 2.50%</c:v>
                  </c:pt>
                  <c:pt idx="1">
                    <c:v>100% → 90%</c:v>
                  </c:pt>
                  <c:pt idx="2">
                    <c:v>1.5% → 0%</c:v>
                  </c:pt>
                  <c:pt idx="3">
                    <c:v>-0.6% → 0.0%</c:v>
                  </c:pt>
                </c:lvl>
                <c:lvl>
                  <c:pt idx="0">
                    <c:v>Annual Bed Expansion Rate</c:v>
                  </c:pt>
                  <c:pt idx="1">
                    <c:v>ALOS Adjustment Factor</c:v>
                  </c:pt>
                  <c:pt idx="2">
                    <c:v>65+ Pop. Growth Adjust</c:v>
                  </c:pt>
                  <c:pt idx="3">
                    <c:v>Government Policy Factor</c:v>
                  </c:pt>
                </c:lvl>
              </c:multiLvlStrCache>
            </c:multiLvlStrRef>
          </c:cat>
          <c:val>
            <c:numRef>
              <c:f>'M2 Sensitivity Analysis'!$C$9:$C$12</c:f>
              <c:numCache>
                <c:formatCode>0.00%</c:formatCode>
                <c:ptCount val="4"/>
                <c:pt idx="0">
                  <c:v>-8.225851408094853E-2</c:v>
                </c:pt>
                <c:pt idx="1">
                  <c:v>7.4213922373351005E-2</c:v>
                </c:pt>
                <c:pt idx="2">
                  <c:v>6.8160459895668657E-3</c:v>
                </c:pt>
                <c:pt idx="3">
                  <c:v>-3.2808298067770969E-2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A-9B4D-90A6-8E0D8E10A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922663744"/>
        <c:axId val="1922673152"/>
      </c:barChart>
      <c:catAx>
        <c:axId val="1922663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22673152"/>
        <c:crosses val="autoZero"/>
        <c:auto val="1"/>
        <c:lblAlgn val="ctr"/>
        <c:lblOffset val="100"/>
        <c:noMultiLvlLbl val="0"/>
      </c:catAx>
      <c:valAx>
        <c:axId val="1922673152"/>
        <c:scaling>
          <c:orientation val="minMax"/>
          <c:max val="0.15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226637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Expenditure</a:t>
            </a:r>
          </a:p>
        </c:rich>
      </c:tx>
      <c:layout>
        <c:manualLayout>
          <c:xMode val="edge"/>
          <c:yMode val="edge"/>
          <c:x val="0.33503464295127777"/>
          <c:y val="3.703710767957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'M3 Healthcare Budget'!$A$5</c:f>
              <c:strCache>
                <c:ptCount val="1"/>
                <c:pt idx="0">
                  <c:v>Operating Expenditure On Health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F2EF-4958-B266-F98EFB7B9BC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F2EF-4958-B266-F98EFB7B9BC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C8-4C53-BA55-F559417FE96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C8-4C53-BA55-F559417FE96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C5C8-4C53-BA55-F559417FE96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C5C8-4C53-BA55-F559417FE96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F2EF-4958-B266-F98EFB7B9BC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F2EF-4958-B266-F98EFB7B9BC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EF-4958-B266-F98EFB7B9BC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flat" cmpd="sng" algn="ctr">
                <a:solidFill>
                  <a:srgbClr val="4472C4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F2EF-4958-B266-F98EFB7B9BC3}"/>
              </c:ext>
            </c:extLst>
          </c:dPt>
          <c:cat>
            <c:numRef>
              <c:f>'M3 Healthcare Budget'!$B$4:$AF$4</c:f>
              <c:numCache>
                <c:formatCode>General</c:formatCode>
                <c:ptCount val="31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  <c:pt idx="30">
                  <c:v>2005</c:v>
                </c:pt>
              </c:numCache>
            </c:numRef>
          </c:cat>
          <c:val>
            <c:numRef>
              <c:f>'M3 Healthcare Budget'!$B$5:$AF$5</c:f>
              <c:numCache>
                <c:formatCode>#,##0.00</c:formatCode>
                <c:ptCount val="31"/>
                <c:pt idx="0">
                  <c:v>32883.349999999627</c:v>
                </c:pt>
                <c:pt idx="1">
                  <c:v>31453.399999999907</c:v>
                </c:pt>
                <c:pt idx="2">
                  <c:v>30023.449999999721</c:v>
                </c:pt>
                <c:pt idx="3">
                  <c:v>28593.499999999534</c:v>
                </c:pt>
                <c:pt idx="4">
                  <c:v>27163.549999999814</c:v>
                </c:pt>
                <c:pt idx="5">
                  <c:v>25733.599999999627</c:v>
                </c:pt>
                <c:pt idx="6">
                  <c:v>24303.649999999907</c:v>
                </c:pt>
                <c:pt idx="7">
                  <c:v>22873.699999999721</c:v>
                </c:pt>
                <c:pt idx="8">
                  <c:v>21443.749999999534</c:v>
                </c:pt>
                <c:pt idx="9">
                  <c:v>20013.799999999814</c:v>
                </c:pt>
                <c:pt idx="10">
                  <c:v>18795.3</c:v>
                </c:pt>
                <c:pt idx="11">
                  <c:v>16731</c:v>
                </c:pt>
                <c:pt idx="12">
                  <c:v>15935.4</c:v>
                </c:pt>
                <c:pt idx="13">
                  <c:v>15908.6</c:v>
                </c:pt>
                <c:pt idx="14">
                  <c:v>16273.7</c:v>
                </c:pt>
                <c:pt idx="15">
                  <c:v>14310.6</c:v>
                </c:pt>
                <c:pt idx="16">
                  <c:v>9914.7999999999993</c:v>
                </c:pt>
                <c:pt idx="17">
                  <c:v>8937.4</c:v>
                </c:pt>
                <c:pt idx="18">
                  <c:v>8734.4</c:v>
                </c:pt>
                <c:pt idx="19">
                  <c:v>8199.4</c:v>
                </c:pt>
                <c:pt idx="20">
                  <c:v>7519.8</c:v>
                </c:pt>
                <c:pt idx="21">
                  <c:v>5872.4</c:v>
                </c:pt>
                <c:pt idx="22">
                  <c:v>5043.8999999999996</c:v>
                </c:pt>
                <c:pt idx="23">
                  <c:v>4066.1</c:v>
                </c:pt>
                <c:pt idx="24">
                  <c:v>3488.8</c:v>
                </c:pt>
                <c:pt idx="25">
                  <c:v>3258</c:v>
                </c:pt>
                <c:pt idx="26">
                  <c:v>2920.2</c:v>
                </c:pt>
                <c:pt idx="27">
                  <c:v>2378.5</c:v>
                </c:pt>
                <c:pt idx="28">
                  <c:v>2019.5</c:v>
                </c:pt>
                <c:pt idx="29">
                  <c:v>1839.5</c:v>
                </c:pt>
                <c:pt idx="30">
                  <c:v>1680.4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F1C909E2-D6F2-41C4-B515-00587FB2108A}"/>
            </c:ext>
          </c:extLst>
        </c:ser>
        <c:ser>
          <c:idx val="1"/>
          <c:order val="1"/>
          <c:tx>
            <c:strRef>
              <c:f>'M3 Healthcare Budget'!$A$6</c:f>
              <c:strCache>
                <c:ptCount val="1"/>
                <c:pt idx="0">
                  <c:v>Operating Expenditure (Hospital)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F-4958-B266-F98EFB7B9BC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EF-4958-B266-F98EFB7B9BC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2EF-4958-B266-F98EFB7B9BC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F2EF-4958-B266-F98EFB7B9BC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EF-4958-B266-F98EFB7B9BC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F2EF-4958-B266-F98EFB7B9BC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EF-4958-B266-F98EFB7B9BC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EF-4958-B266-F98EFB7B9BC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F-4958-B266-F98EFB7B9BC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flat" cmpd="sng" algn="ctr">
                <a:solidFill>
                  <a:srgbClr val="ED7D31"/>
                </a:solidFill>
                <a:prstDash val="sysDash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F2EF-4958-B266-F98EFB7B9BC3}"/>
              </c:ext>
            </c:extLst>
          </c:dPt>
          <c:cat>
            <c:numRef>
              <c:f>'M3 Healthcare Budget'!$B$4:$AF$4</c:f>
              <c:numCache>
                <c:formatCode>General</c:formatCode>
                <c:ptCount val="31"/>
                <c:pt idx="0">
                  <c:v>2035</c:v>
                </c:pt>
                <c:pt idx="1">
                  <c:v>2034</c:v>
                </c:pt>
                <c:pt idx="2">
                  <c:v>2033</c:v>
                </c:pt>
                <c:pt idx="3">
                  <c:v>2032</c:v>
                </c:pt>
                <c:pt idx="4">
                  <c:v>2031</c:v>
                </c:pt>
                <c:pt idx="5">
                  <c:v>2030</c:v>
                </c:pt>
                <c:pt idx="6">
                  <c:v>2029</c:v>
                </c:pt>
                <c:pt idx="7">
                  <c:v>2028</c:v>
                </c:pt>
                <c:pt idx="8">
                  <c:v>2027</c:v>
                </c:pt>
                <c:pt idx="9">
                  <c:v>2026</c:v>
                </c:pt>
                <c:pt idx="10">
                  <c:v>2025</c:v>
                </c:pt>
                <c:pt idx="11">
                  <c:v>2024</c:v>
                </c:pt>
                <c:pt idx="12">
                  <c:v>2023</c:v>
                </c:pt>
                <c:pt idx="13">
                  <c:v>2022</c:v>
                </c:pt>
                <c:pt idx="14">
                  <c:v>2021</c:v>
                </c:pt>
                <c:pt idx="15">
                  <c:v>2020</c:v>
                </c:pt>
                <c:pt idx="16">
                  <c:v>2019</c:v>
                </c:pt>
                <c:pt idx="17">
                  <c:v>2018</c:v>
                </c:pt>
                <c:pt idx="18">
                  <c:v>2017</c:v>
                </c:pt>
                <c:pt idx="19">
                  <c:v>2016</c:v>
                </c:pt>
                <c:pt idx="20">
                  <c:v>2015</c:v>
                </c:pt>
                <c:pt idx="21">
                  <c:v>2014</c:v>
                </c:pt>
                <c:pt idx="22">
                  <c:v>2013</c:v>
                </c:pt>
                <c:pt idx="23">
                  <c:v>2012</c:v>
                </c:pt>
                <c:pt idx="24">
                  <c:v>2011</c:v>
                </c:pt>
                <c:pt idx="25">
                  <c:v>2010</c:v>
                </c:pt>
                <c:pt idx="26">
                  <c:v>2009</c:v>
                </c:pt>
                <c:pt idx="27">
                  <c:v>2008</c:v>
                </c:pt>
                <c:pt idx="28">
                  <c:v>2007</c:v>
                </c:pt>
                <c:pt idx="29">
                  <c:v>2006</c:v>
                </c:pt>
                <c:pt idx="30">
                  <c:v>2005</c:v>
                </c:pt>
              </c:numCache>
            </c:numRef>
          </c:cat>
          <c:val>
            <c:numRef>
              <c:f>'M3 Healthcare Budget'!$B$6:$AF$6</c:f>
              <c:numCache>
                <c:formatCode>#,##0.00</c:formatCode>
                <c:ptCount val="31"/>
                <c:pt idx="0">
                  <c:v>13153.339999999851</c:v>
                </c:pt>
                <c:pt idx="1">
                  <c:v>12581.359999999964</c:v>
                </c:pt>
                <c:pt idx="2">
                  <c:v>12009.379999999888</c:v>
                </c:pt>
                <c:pt idx="3">
                  <c:v>11437.399999999814</c:v>
                </c:pt>
                <c:pt idx="4">
                  <c:v>10865.419999999925</c:v>
                </c:pt>
                <c:pt idx="5">
                  <c:v>10293.439999999851</c:v>
                </c:pt>
                <c:pt idx="6">
                  <c:v>9721.4599999999627</c:v>
                </c:pt>
                <c:pt idx="7">
                  <c:v>9149.4799999998886</c:v>
                </c:pt>
                <c:pt idx="8">
                  <c:v>8577.4999999998145</c:v>
                </c:pt>
                <c:pt idx="9">
                  <c:v>8005.5199999999259</c:v>
                </c:pt>
                <c:pt idx="10">
                  <c:v>7518.12</c:v>
                </c:pt>
                <c:pt idx="11">
                  <c:v>6692.4000000000005</c:v>
                </c:pt>
                <c:pt idx="12">
                  <c:v>6374.16</c:v>
                </c:pt>
                <c:pt idx="13">
                  <c:v>6363.4400000000005</c:v>
                </c:pt>
                <c:pt idx="14">
                  <c:v>6509.4800000000005</c:v>
                </c:pt>
                <c:pt idx="15">
                  <c:v>5724.2400000000007</c:v>
                </c:pt>
                <c:pt idx="16">
                  <c:v>3965.92</c:v>
                </c:pt>
                <c:pt idx="17">
                  <c:v>3574.96</c:v>
                </c:pt>
                <c:pt idx="18">
                  <c:v>3493.76</c:v>
                </c:pt>
                <c:pt idx="19">
                  <c:v>3279.76</c:v>
                </c:pt>
                <c:pt idx="20">
                  <c:v>3007.92</c:v>
                </c:pt>
                <c:pt idx="21">
                  <c:v>2348.96</c:v>
                </c:pt>
                <c:pt idx="22">
                  <c:v>2017.56</c:v>
                </c:pt>
                <c:pt idx="23">
                  <c:v>1626.44</c:v>
                </c:pt>
                <c:pt idx="24">
                  <c:v>1395.5200000000002</c:v>
                </c:pt>
                <c:pt idx="25">
                  <c:v>1303.2</c:v>
                </c:pt>
                <c:pt idx="26">
                  <c:v>1168.08</c:v>
                </c:pt>
                <c:pt idx="27">
                  <c:v>951.40000000000009</c:v>
                </c:pt>
                <c:pt idx="28">
                  <c:v>807.80000000000007</c:v>
                </c:pt>
                <c:pt idx="29">
                  <c:v>735.80000000000007</c:v>
                </c:pt>
                <c:pt idx="30">
                  <c:v>672.16000000000008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D79BE027-A2E3-4915-A022-856F1C83E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323975"/>
        <c:axId val="94041607"/>
      </c:lineChart>
      <c:catAx>
        <c:axId val="2082323975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1607"/>
        <c:crosses val="autoZero"/>
        <c:auto val="1"/>
        <c:lblAlgn val="ctr"/>
        <c:lblOffset val="100"/>
        <c:noMultiLvlLbl val="0"/>
      </c:catAx>
      <c:valAx>
        <c:axId val="94041607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208232397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on Healthcare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'M3 Sensitivity Analysis'!$C$7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Analysis'!$C$8:$C$16</c:f>
              <c:numCache>
                <c:formatCode>#,##0.00</c:formatCode>
                <c:ptCount val="9"/>
                <c:pt idx="0">
                  <c:v>7518.12</c:v>
                </c:pt>
                <c:pt idx="1">
                  <c:v>7518.12</c:v>
                </c:pt>
                <c:pt idx="2">
                  <c:v>7518.12</c:v>
                </c:pt>
                <c:pt idx="3">
                  <c:v>7518.12</c:v>
                </c:pt>
                <c:pt idx="4">
                  <c:v>7518.12</c:v>
                </c:pt>
                <c:pt idx="5">
                  <c:v>7518.12</c:v>
                </c:pt>
                <c:pt idx="6">
                  <c:v>7518.12</c:v>
                </c:pt>
                <c:pt idx="7">
                  <c:v>7518.12</c:v>
                </c:pt>
                <c:pt idx="8">
                  <c:v>7518.12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7FA28579-58DF-4C73-A25F-76A20589D236}"/>
            </c:ext>
          </c:extLst>
        </c:ser>
        <c:ser>
          <c:idx val="1"/>
          <c:order val="1"/>
          <c:tx>
            <c:strRef>
              <c:f>'M3 Sensitivity Analysis'!$D$7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Analysis'!$D$8:$D$16</c:f>
              <c:numCache>
                <c:formatCode>#,##0.00</c:formatCode>
                <c:ptCount val="9"/>
                <c:pt idx="0">
                  <c:v>7593.301199999999</c:v>
                </c:pt>
                <c:pt idx="1">
                  <c:v>7668.482399999999</c:v>
                </c:pt>
                <c:pt idx="2">
                  <c:v>7721.109239999998</c:v>
                </c:pt>
                <c:pt idx="3">
                  <c:v>7743.663599999999</c:v>
                </c:pt>
                <c:pt idx="4">
                  <c:v>7818.8447999999989</c:v>
                </c:pt>
                <c:pt idx="5">
                  <c:v>7894.0259999999989</c:v>
                </c:pt>
                <c:pt idx="6">
                  <c:v>7969.2071999999989</c:v>
                </c:pt>
                <c:pt idx="7">
                  <c:v>8044.3883999999998</c:v>
                </c:pt>
                <c:pt idx="8">
                  <c:v>8119.5695999999998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4E68E7AC-30FA-4DAE-8BCE-8FF8383964CF}"/>
            </c:ext>
          </c:extLst>
        </c:ser>
        <c:ser>
          <c:idx val="2"/>
          <c:order val="2"/>
          <c:tx>
            <c:strRef>
              <c:f>'M3 Sensitivity Analysis'!$E$7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Analysis'!$E$8:$E$16</c:f>
              <c:numCache>
                <c:formatCode>#,##0.00</c:formatCode>
                <c:ptCount val="9"/>
                <c:pt idx="0">
                  <c:v>7669.2342119999994</c:v>
                </c:pt>
                <c:pt idx="1">
                  <c:v>7821.8520479999988</c:v>
                </c:pt>
                <c:pt idx="2">
                  <c:v>7929.5791894799977</c:v>
                </c:pt>
                <c:pt idx="3">
                  <c:v>7975.9735079999982</c:v>
                </c:pt>
                <c:pt idx="4">
                  <c:v>8131.5985919999994</c:v>
                </c:pt>
                <c:pt idx="5">
                  <c:v>8288.7272999999986</c:v>
                </c:pt>
                <c:pt idx="6">
                  <c:v>8447.3596319999997</c:v>
                </c:pt>
                <c:pt idx="7">
                  <c:v>8607.4955879999998</c:v>
                </c:pt>
                <c:pt idx="8">
                  <c:v>8769.1351679999989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CC14FE7-9E21-476D-B395-1C4473F029CC}"/>
            </c:ext>
          </c:extLst>
        </c:ser>
        <c:ser>
          <c:idx val="3"/>
          <c:order val="3"/>
          <c:tx>
            <c:strRef>
              <c:f>'M3 Sensitivity Analysis'!$F$7</c:f>
              <c:strCache>
                <c:ptCount val="1"/>
                <c:pt idx="0">
                  <c:v>2028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Analysis'!$F$8:$F$16</c:f>
              <c:numCache>
                <c:formatCode>#,##0.00</c:formatCode>
                <c:ptCount val="9"/>
                <c:pt idx="0">
                  <c:v>7745.9265541199984</c:v>
                </c:pt>
                <c:pt idx="1">
                  <c:v>7978.2890889599985</c:v>
                </c:pt>
                <c:pt idx="2">
                  <c:v>8143.6778275959568</c:v>
                </c:pt>
                <c:pt idx="3">
                  <c:v>8215.2527132399991</c:v>
                </c:pt>
                <c:pt idx="4">
                  <c:v>8456.8625356800003</c:v>
                </c:pt>
                <c:pt idx="5">
                  <c:v>8703.163665</c:v>
                </c:pt>
                <c:pt idx="6">
                  <c:v>8954.2012099200001</c:v>
                </c:pt>
                <c:pt idx="7">
                  <c:v>9210.0202791600004</c:v>
                </c:pt>
                <c:pt idx="8">
                  <c:v>9470.6659814399991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5E36AFE0-5085-47F1-8551-B5CEC6B98508}"/>
            </c:ext>
          </c:extLst>
        </c:ser>
        <c:ser>
          <c:idx val="4"/>
          <c:order val="4"/>
          <c:tx>
            <c:strRef>
              <c:f>'M3 Sensitivity Analysis'!$G$7</c:f>
              <c:strCache>
                <c:ptCount val="1"/>
                <c:pt idx="0">
                  <c:v>2029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Analysis'!$G$8:$G$16</c:f>
              <c:numCache>
                <c:formatCode>#,##0.00</c:formatCode>
                <c:ptCount val="9"/>
                <c:pt idx="0">
                  <c:v>7823.3858196611991</c:v>
                </c:pt>
                <c:pt idx="1">
                  <c:v>8137.8548707391983</c:v>
                </c:pt>
                <c:pt idx="2">
                  <c:v>8363.5571289410473</c:v>
                </c:pt>
                <c:pt idx="3">
                  <c:v>8461.7102946371979</c:v>
                </c:pt>
                <c:pt idx="4">
                  <c:v>8795.1370371072007</c:v>
                </c:pt>
                <c:pt idx="5">
                  <c:v>9138.3218482499997</c:v>
                </c:pt>
                <c:pt idx="6">
                  <c:v>9491.4532825152019</c:v>
                </c:pt>
                <c:pt idx="7">
                  <c:v>9854.721698701198</c:v>
                </c:pt>
                <c:pt idx="8">
                  <c:v>10228.3192599552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4E9BC225-6080-4C56-85F2-B11EDBF6BEF4}"/>
            </c:ext>
          </c:extLst>
        </c:ser>
        <c:ser>
          <c:idx val="5"/>
          <c:order val="5"/>
          <c:tx>
            <c:strRef>
              <c:f>'M3 Sensitivity Analysis'!$H$7</c:f>
              <c:strCache>
                <c:ptCount val="1"/>
                <c:pt idx="0">
                  <c:v>2030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Analysis'!$H$8:$H$16</c:f>
              <c:numCache>
                <c:formatCode>#,##0.00</c:formatCode>
                <c:ptCount val="9"/>
                <c:pt idx="0">
                  <c:v>7901.6196778578105</c:v>
                </c:pt>
                <c:pt idx="1">
                  <c:v>8300.6119681539822</c:v>
                </c:pt>
                <c:pt idx="2">
                  <c:v>8589.3731714224541</c:v>
                </c:pt>
                <c:pt idx="3">
                  <c:v>8715.5616034763134</c:v>
                </c:pt>
                <c:pt idx="4">
                  <c:v>9146.9425185914897</c:v>
                </c:pt>
                <c:pt idx="5">
                  <c:v>9595.2379406625005</c:v>
                </c:pt>
                <c:pt idx="6">
                  <c:v>10060.940479466115</c:v>
                </c:pt>
                <c:pt idx="7">
                  <c:v>10544.552217610284</c:v>
                </c:pt>
                <c:pt idx="8">
                  <c:v>11046.584800751616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F952298D-EB9D-4926-A1EF-0C01598B6B35}"/>
            </c:ext>
          </c:extLst>
        </c:ser>
        <c:ser>
          <c:idx val="6"/>
          <c:order val="6"/>
          <c:tx>
            <c:strRef>
              <c:f>'M3 Sensitivity Analysis'!$J$7</c:f>
              <c:strCache>
                <c:ptCount val="1"/>
                <c:pt idx="0">
                  <c:v>2032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Analysis'!$J$8:$J$16</c:f>
              <c:numCache>
                <c:formatCode>#,##0.00</c:formatCode>
                <c:ptCount val="9"/>
                <c:pt idx="0">
                  <c:v>8060.4422333827515</c:v>
                </c:pt>
                <c:pt idx="1">
                  <c:v>8635.956691667403</c:v>
                </c:pt>
                <c:pt idx="2">
                  <c:v>9059.4609757212329</c:v>
                </c:pt>
                <c:pt idx="3">
                  <c:v>9246.3393051280218</c:v>
                </c:pt>
                <c:pt idx="4">
                  <c:v>9893.3330281085546</c:v>
                </c:pt>
                <c:pt idx="5">
                  <c:v>10578.749829580407</c:v>
                </c:pt>
                <c:pt idx="6">
                  <c:v>11304.472722728127</c:v>
                </c:pt>
                <c:pt idx="7">
                  <c:v>12072.457833942013</c:v>
                </c:pt>
                <c:pt idx="8">
                  <c:v>12884.736511596688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C78157BF-CB35-45C0-9D8E-137EB6EAAB46}"/>
            </c:ext>
          </c:extLst>
        </c:ser>
        <c:ser>
          <c:idx val="7"/>
          <c:order val="7"/>
          <c:tx>
            <c:strRef>
              <c:f>'M3 Sensitivity Analysis'!$M$7</c:f>
              <c:strCache>
                <c:ptCount val="1"/>
                <c:pt idx="0">
                  <c:v>2035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'M3 Sensitivity Analysis'!$B$8:$B$16</c:f>
              <c:numCache>
                <c:formatCode>0.00%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2.7E-2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</c:numCache>
            </c:numRef>
          </c:cat>
          <c:val>
            <c:numRef>
              <c:f>'M3 Sensitivity Analysis'!$M$8:$M$16</c:f>
              <c:numCache>
                <c:formatCode>#,##0.00</c:formatCode>
                <c:ptCount val="9"/>
                <c:pt idx="0">
                  <c:v>8304.6816934964863</c:v>
                </c:pt>
                <c:pt idx="1">
                  <c:v>9164.5463288509818</c:v>
                </c:pt>
                <c:pt idx="2">
                  <c:v>9813.2686732789371</c:v>
                </c:pt>
                <c:pt idx="3">
                  <c:v>10103.724609874627</c:v>
                </c:pt>
                <c:pt idx="4">
                  <c:v>11128.654163330304</c:v>
                </c:pt>
                <c:pt idx="5">
                  <c:v>12246.225271468018</c:v>
                </c:pt>
                <c:pt idx="6">
                  <c:v>13463.807884332764</c:v>
                </c:pt>
                <c:pt idx="7">
                  <c:v>14789.279962265828</c:v>
                </c:pt>
                <c:pt idx="8">
                  <c:v>16231.057200496489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60E19425-2706-44D5-AC1D-D1566B42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82024"/>
        <c:axId val="61788168"/>
      </c:lineChart>
      <c:catAx>
        <c:axId val="61782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8168"/>
        <c:crosses val="autoZero"/>
        <c:auto val="1"/>
        <c:lblAlgn val="ctr"/>
        <c:lblOffset val="100"/>
        <c:noMultiLvlLbl val="0"/>
      </c:catAx>
      <c:valAx>
        <c:axId val="61788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61782024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Monthly Household Employment Income — Actual vs Projected (2000–2035)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Actual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'M4 Household data'!$A$67:$A$102</c:f>
              <c:numCache>
                <c:formatCode>General</c:formatCod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</c:numCache>
            </c:numRef>
          </c:cat>
          <c:val>
            <c:numRef>
              <c:f>'M4 Household data'!$B$67:$B$102</c:f>
              <c:numCache>
                <c:formatCode>"$"#,##0.00</c:formatCode>
                <c:ptCount val="36"/>
                <c:pt idx="0">
                  <c:v>4000</c:v>
                </c:pt>
                <c:pt idx="1">
                  <c:v>4141</c:v>
                </c:pt>
                <c:pt idx="2">
                  <c:v>4038</c:v>
                </c:pt>
                <c:pt idx="3">
                  <c:v>4050</c:v>
                </c:pt>
                <c:pt idx="4">
                  <c:v>4106</c:v>
                </c:pt>
                <c:pt idx="5">
                  <c:v>4345</c:v>
                </c:pt>
                <c:pt idx="6">
                  <c:v>4495</c:v>
                </c:pt>
                <c:pt idx="7">
                  <c:v>4883</c:v>
                </c:pt>
                <c:pt idx="8">
                  <c:v>5475</c:v>
                </c:pt>
                <c:pt idx="9">
                  <c:v>5398</c:v>
                </c:pt>
                <c:pt idx="10">
                  <c:v>5704</c:v>
                </c:pt>
                <c:pt idx="11">
                  <c:v>6286</c:v>
                </c:pt>
                <c:pt idx="12">
                  <c:v>6712</c:v>
                </c:pt>
                <c:pt idx="13">
                  <c:v>7000</c:v>
                </c:pt>
                <c:pt idx="14">
                  <c:v>7400</c:v>
                </c:pt>
                <c:pt idx="15">
                  <c:v>7624</c:v>
                </c:pt>
                <c:pt idx="16">
                  <c:v>7791</c:v>
                </c:pt>
                <c:pt idx="17">
                  <c:v>7956</c:v>
                </c:pt>
                <c:pt idx="18">
                  <c:v>8169</c:v>
                </c:pt>
                <c:pt idx="19">
                  <c:v>8333</c:v>
                </c:pt>
                <c:pt idx="20">
                  <c:v>8092</c:v>
                </c:pt>
                <c:pt idx="21">
                  <c:v>8421</c:v>
                </c:pt>
                <c:pt idx="22">
                  <c:v>8904</c:v>
                </c:pt>
                <c:pt idx="23">
                  <c:v>9646</c:v>
                </c:pt>
                <c:pt idx="24">
                  <c:v>11314</c:v>
                </c:pt>
                <c:pt idx="25">
                  <c:v>12027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9-4CB9-9A73-061818195686}"/>
            </c:ext>
          </c:extLst>
        </c:ser>
        <c:ser>
          <c:idx val="2"/>
          <c:order val="1"/>
          <c:tx>
            <c:v>Projected </c:v>
          </c:tx>
          <c:spPr>
            <a:ln w="28575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'M4 Household data'!$A$67:$A$102</c:f>
              <c:numCache>
                <c:formatCode>General</c:formatCod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</c:numCache>
            </c:numRef>
          </c:cat>
          <c:val>
            <c:numRef>
              <c:f>'M4 Household data'!$C$67:$C$102</c:f>
              <c:numCache>
                <c:formatCode>General</c:formatCode>
                <c:ptCount val="36"/>
                <c:pt idx="25" formatCode="&quot;$&quot;#,##0.00">
                  <c:v>12027</c:v>
                </c:pt>
                <c:pt idx="26" formatCode="&quot;$&quot;#,##0.00">
                  <c:v>12592.268999999998</c:v>
                </c:pt>
                <c:pt idx="27" formatCode="&quot;$&quot;#,##0.00">
                  <c:v>13184.105642999997</c:v>
                </c:pt>
                <c:pt idx="28" formatCode="&quot;$&quot;#,##0.00">
                  <c:v>13803.758608220996</c:v>
                </c:pt>
                <c:pt idx="29" formatCode="&quot;$&quot;#,##0.00">
                  <c:v>14452.535262807382</c:v>
                </c:pt>
                <c:pt idx="30" formatCode="&quot;$&quot;#,##0.00">
                  <c:v>15131.804420159327</c:v>
                </c:pt>
                <c:pt idx="31" formatCode="&quot;$&quot;#,##0.00">
                  <c:v>15842.999227906816</c:v>
                </c:pt>
                <c:pt idx="32" formatCode="&quot;$&quot;#,##0.00">
                  <c:v>16587.620191618436</c:v>
                </c:pt>
                <c:pt idx="33" formatCode="&quot;$&quot;#,##0.00">
                  <c:v>17367.238340624503</c:v>
                </c:pt>
                <c:pt idx="34" formatCode="&quot;$&quot;#,##0.00">
                  <c:v>18183.498542633854</c:v>
                </c:pt>
                <c:pt idx="35" formatCode="&quot;$&quot;#,##0.00">
                  <c:v>19038.122974137645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99-4CB9-9A73-061818195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438983"/>
        <c:axId val="1098783239"/>
      </c:lineChart>
      <c:catAx>
        <c:axId val="1077438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83239"/>
        <c:crosses val="autoZero"/>
        <c:auto val="1"/>
        <c:lblAlgn val="ctr"/>
        <c:lblOffset val="100"/>
        <c:noMultiLvlLbl val="0"/>
      </c:catAx>
      <c:valAx>
        <c:axId val="109878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SGD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#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3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Expenditure vs Government Budget (SGD million)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Projected Government Healthcare Budget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'M4 Financing Gap and OOP'!$G$23:$P$23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'M4 Financing Gap and OOP'!$G$24:$P$24</c:f>
              <c:numCache>
                <c:formatCode>_(* #,##0.00_);_(* \(#,##0.00\);_(* "-"??_);_(@_)</c:formatCode>
                <c:ptCount val="10"/>
                <c:pt idx="0">
                  <c:v>8005.5199999999259</c:v>
                </c:pt>
                <c:pt idx="1">
                  <c:v>8577.4999999998145</c:v>
                </c:pt>
                <c:pt idx="2">
                  <c:v>9149.4799999998886</c:v>
                </c:pt>
                <c:pt idx="3">
                  <c:v>9721.4599999999627</c:v>
                </c:pt>
                <c:pt idx="4">
                  <c:v>10293.439999999851</c:v>
                </c:pt>
                <c:pt idx="5">
                  <c:v>10865.419999999925</c:v>
                </c:pt>
                <c:pt idx="6">
                  <c:v>11437.399999999814</c:v>
                </c:pt>
                <c:pt idx="7">
                  <c:v>12009.379999999888</c:v>
                </c:pt>
                <c:pt idx="8">
                  <c:v>12581.359999999964</c:v>
                </c:pt>
                <c:pt idx="9">
                  <c:v>13153.339999999851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93-479A-85D5-A44D3E619C43}"/>
            </c:ext>
          </c:extLst>
        </c:ser>
        <c:ser>
          <c:idx val="1"/>
          <c:order val="1"/>
          <c:tx>
            <c:v>Healthcare Cost Projection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'M4 Financing Gap and OOP'!$G$23:$P$23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'M4 Financing Gap and OOP'!$G$25:$P$25</c:f>
              <c:numCache>
                <c:formatCode>_(* #,##0.00_);_(* \(#,##0.00\);_(* "-"??_);_(@_)</c:formatCode>
                <c:ptCount val="10"/>
                <c:pt idx="0" formatCode="&quot;$&quot;#,##0.00_);[Red]\(&quot;$&quot;#,##0.00\)">
                  <c:v>7975.5627275460765</c:v>
                </c:pt>
                <c:pt idx="1">
                  <c:v>8463.9815670859953</c:v>
                </c:pt>
                <c:pt idx="2">
                  <c:v>8988.1771252850194</c:v>
                </c:pt>
                <c:pt idx="3">
                  <c:v>9552.8979975677175</c:v>
                </c:pt>
                <c:pt idx="4">
                  <c:v>10163.089408911366</c:v>
                </c:pt>
                <c:pt idx="5">
                  <c:v>10824.084706334916</c:v>
                </c:pt>
                <c:pt idx="6">
                  <c:v>11541.76375517626</c:v>
                </c:pt>
                <c:pt idx="7">
                  <c:v>12322.69363426137</c:v>
                </c:pt>
                <c:pt idx="8">
                  <c:v>13174.262425739587</c:v>
                </c:pt>
                <c:pt idx="9">
                  <c:v>14104.814160089212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93-479A-85D5-A44D3E61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5159"/>
        <c:axId val="76893703"/>
      </c:lineChart>
      <c:catAx>
        <c:axId val="16305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3703"/>
        <c:crosses val="autoZero"/>
        <c:auto val="1"/>
        <c:lblAlgn val="ctr"/>
        <c:lblOffset val="100"/>
        <c:noMultiLvlLbl val="0"/>
      </c:catAx>
      <c:valAx>
        <c:axId val="76893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SGD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.0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Trade-off: Subsidy Rate vs Financing Gap and Household Burden (2035)</a:t>
            </a:r>
          </a:p>
        </c:rich>
      </c:tx>
      <c:layout>
        <c:manualLayout>
          <c:xMode val="edge"/>
          <c:yMode val="edge"/>
          <c:x val="0.15530083550347223"/>
          <c:y val="4.7885501179621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'M4 Trade-off Analysis'!$D$8</c:f>
              <c:strCache>
                <c:ptCount val="1"/>
                <c:pt idx="0">
                  <c:v>Financing gap (S$ million)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'M4 Trade-off Analysis'!$A$9:$A$13</c:f>
              <c:numCache>
                <c:formatCode>0%</c:formatCode>
                <c:ptCount val="5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</c:numCache>
            </c:numRef>
          </c:cat>
          <c:val>
            <c:numRef>
              <c:f>'M4 Trade-off Analysis'!$D$9:$D$13</c:f>
              <c:numCache>
                <c:formatCode>_([$$-409]* #,##0.00_);_([$$-409]* \(#,##0.00\);_([$$-409]* "-"??_);_(@_)</c:formatCode>
                <c:ptCount val="5"/>
                <c:pt idx="0">
                  <c:v>-1218.4972491551325</c:v>
                </c:pt>
                <c:pt idx="1">
                  <c:v>-133.51154453288655</c:v>
                </c:pt>
                <c:pt idx="2">
                  <c:v>951.47416008936125</c:v>
                </c:pt>
                <c:pt idx="3">
                  <c:v>2036.4598647116072</c:v>
                </c:pt>
                <c:pt idx="4">
                  <c:v>3121.445569333855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F-498A-866D-F3533D260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256263"/>
        <c:axId val="860603399"/>
      </c:lineChart>
      <c:lineChart>
        <c:grouping val="standard"/>
        <c:varyColors val="0"/>
        <c:ser>
          <c:idx val="2"/>
          <c:order val="1"/>
          <c:tx>
            <c:strRef>
              <c:f>'M4 Trade-off Analysis'!$F$8</c:f>
              <c:strCache>
                <c:ptCount val="1"/>
                <c:pt idx="0">
                  <c:v>Household OOP as % of household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'M4 Trade-off Analysis'!$A$9:$A$13</c:f>
              <c:numCache>
                <c:formatCode>0%</c:formatCode>
                <c:ptCount val="5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</c:numCache>
            </c:numRef>
          </c:cat>
          <c:val>
            <c:numRef>
              <c:f>'M4 Trade-off Analysis'!$F$9:$F$13</c:f>
              <c:numCache>
                <c:formatCode>0.00%</c:formatCode>
                <c:ptCount val="5"/>
                <c:pt idx="0">
                  <c:v>2.452358163845773E-2</c:v>
                </c:pt>
                <c:pt idx="1">
                  <c:v>2.1798739234184652E-2</c:v>
                </c:pt>
                <c:pt idx="2">
                  <c:v>1.907389682991157E-2</c:v>
                </c:pt>
                <c:pt idx="3">
                  <c:v>1.6349054425638491E-2</c:v>
                </c:pt>
                <c:pt idx="4">
                  <c:v>1.3624212021365406E-2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6F-498A-866D-F3533D260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349703"/>
        <c:axId val="1056346631"/>
      </c:lineChart>
      <c:catAx>
        <c:axId val="86025626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603399"/>
        <c:crosses val="autoZero"/>
        <c:auto val="1"/>
        <c:lblAlgn val="ctr"/>
        <c:lblOffset val="100"/>
        <c:noMultiLvlLbl val="0"/>
      </c:catAx>
      <c:valAx>
        <c:axId val="86060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.00\);_([$$-409]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256263"/>
        <c:crosses val="autoZero"/>
        <c:crossBetween val="between"/>
      </c:valAx>
      <c:valAx>
        <c:axId val="105634663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49703"/>
        <c:crosses val="max"/>
        <c:crossBetween val="between"/>
      </c:valAx>
      <c:catAx>
        <c:axId val="1056349703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one"/>
        <c:crossAx val="1056346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image" Target="../media/image113.png"/><Relationship Id="rId1" Type="http://schemas.openxmlformats.org/officeDocument/2006/relationships/customXml" Target="../ink/ink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9</xdr:row>
      <xdr:rowOff>85725</xdr:rowOff>
    </xdr:from>
    <xdr:to>
      <xdr:col>2</xdr:col>
      <xdr:colOff>38100</xdr:colOff>
      <xdr:row>12</xdr:row>
      <xdr:rowOff>19050</xdr:rowOff>
    </xdr:to>
    <xdr:sp macro="" textlink="">
      <xdr:nvSpPr>
        <xdr:cNvPr id="196" name="Rounded Rectangle 1">
          <a:extLst>
            <a:ext uri="{FF2B5EF4-FFF2-40B4-BE49-F238E27FC236}">
              <a16:creationId xmlns:a16="http://schemas.microsoft.com/office/drawing/2014/main" id="{5753A752-1AED-60CD-A680-853D441DA904}"/>
            </a:ext>
          </a:extLst>
        </xdr:cNvPr>
        <xdr:cNvSpPr/>
      </xdr:nvSpPr>
      <xdr:spPr>
        <a:xfrm>
          <a:off x="104775" y="1628775"/>
          <a:ext cx="1152525" cy="4476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Age-specific fertility rates</a:t>
          </a:r>
        </a:p>
      </xdr:txBody>
    </xdr:sp>
    <xdr:clientData/>
  </xdr:twoCellAnchor>
  <xdr:twoCellAnchor>
    <xdr:from>
      <xdr:col>0</xdr:col>
      <xdr:colOff>57150</xdr:colOff>
      <xdr:row>13</xdr:row>
      <xdr:rowOff>123825</xdr:rowOff>
    </xdr:from>
    <xdr:to>
      <xdr:col>1</xdr:col>
      <xdr:colOff>600075</xdr:colOff>
      <xdr:row>16</xdr:row>
      <xdr:rowOff>47625</xdr:rowOff>
    </xdr:to>
    <xdr:sp macro="" textlink="">
      <xdr:nvSpPr>
        <xdr:cNvPr id="199" name="Rounded Rectangle 2">
          <a:extLst>
            <a:ext uri="{FF2B5EF4-FFF2-40B4-BE49-F238E27FC236}">
              <a16:creationId xmlns:a16="http://schemas.microsoft.com/office/drawing/2014/main" id="{7F0AD60F-3F70-4D6F-B750-3030E2E811F4}"/>
            </a:ext>
            <a:ext uri="{147F2762-F138-4A5C-976F-8EAC2B608ADB}">
              <a16:predDERef xmlns:a16="http://schemas.microsoft.com/office/drawing/2014/main" pred="{5753A752-1AED-60CD-A680-853D441DA904}"/>
            </a:ext>
          </a:extLst>
        </xdr:cNvPr>
        <xdr:cNvSpPr/>
      </xdr:nvSpPr>
      <xdr:spPr>
        <a:xfrm>
          <a:off x="57150" y="2352675"/>
          <a:ext cx="1152525" cy="4381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Age-specific mor</a:t>
          </a:r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tality </a:t>
          </a:r>
          <a:r>
            <a:rPr lang="en-US" sz="1100" b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rates</a:t>
          </a:r>
        </a:p>
      </xdr:txBody>
    </xdr:sp>
    <xdr:clientData/>
  </xdr:twoCellAnchor>
  <xdr:twoCellAnchor>
    <xdr:from>
      <xdr:col>5</xdr:col>
      <xdr:colOff>342900</xdr:colOff>
      <xdr:row>13</xdr:row>
      <xdr:rowOff>161925</xdr:rowOff>
    </xdr:from>
    <xdr:to>
      <xdr:col>7</xdr:col>
      <xdr:colOff>276225</xdr:colOff>
      <xdr:row>16</xdr:row>
      <xdr:rowOff>85725</xdr:rowOff>
    </xdr:to>
    <xdr:sp macro="" textlink="">
      <xdr:nvSpPr>
        <xdr:cNvPr id="200" name="Rounded Rectangle 3">
          <a:extLst>
            <a:ext uri="{FF2B5EF4-FFF2-40B4-BE49-F238E27FC236}">
              <a16:creationId xmlns:a16="http://schemas.microsoft.com/office/drawing/2014/main" id="{3E65BDFB-4B90-485A-A230-1FF0389383DE}"/>
            </a:ext>
            <a:ext uri="{147F2762-F138-4A5C-976F-8EAC2B608ADB}">
              <a16:predDERef xmlns:a16="http://schemas.microsoft.com/office/drawing/2014/main" pred="{7F0AD60F-3F70-4D6F-B750-3030E2E811F4}"/>
            </a:ext>
          </a:extLst>
        </xdr:cNvPr>
        <xdr:cNvSpPr/>
      </xdr:nvSpPr>
      <xdr:spPr>
        <a:xfrm>
          <a:off x="3390900" y="2390775"/>
          <a:ext cx="1152525" cy="4381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Age-specific resident ra</a:t>
          </a:r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tes</a:t>
          </a:r>
        </a:p>
      </xdr:txBody>
    </xdr:sp>
    <xdr:clientData/>
  </xdr:twoCellAnchor>
  <xdr:twoCellAnchor>
    <xdr:from>
      <xdr:col>2</xdr:col>
      <xdr:colOff>371475</xdr:colOff>
      <xdr:row>8</xdr:row>
      <xdr:rowOff>152400</xdr:rowOff>
    </xdr:from>
    <xdr:to>
      <xdr:col>4</xdr:col>
      <xdr:colOff>581025</xdr:colOff>
      <xdr:row>11</xdr:row>
      <xdr:rowOff>114300</xdr:rowOff>
    </xdr:to>
    <xdr:sp macro="" textlink="">
      <xdr:nvSpPr>
        <xdr:cNvPr id="190" name="Rounded Rectangle 6">
          <a:extLst>
            <a:ext uri="{FF2B5EF4-FFF2-40B4-BE49-F238E27FC236}">
              <a16:creationId xmlns:a16="http://schemas.microsoft.com/office/drawing/2014/main" id="{2B6720CD-7EE4-FCD0-3888-6A699923B39E}"/>
            </a:ext>
            <a:ext uri="{147F2762-F138-4A5C-976F-8EAC2B608ADB}">
              <a16:predDERef xmlns:a16="http://schemas.microsoft.com/office/drawing/2014/main" pred="{3E65BDFB-4B90-485A-A230-1FF0389383DE}"/>
            </a:ext>
          </a:extLst>
        </xdr:cNvPr>
        <xdr:cNvSpPr/>
      </xdr:nvSpPr>
      <xdr:spPr>
        <a:xfrm>
          <a:off x="1590675" y="1524000"/>
          <a:ext cx="1428750" cy="4762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Projected age-specific fertility rate</a:t>
          </a:r>
        </a:p>
      </xdr:txBody>
    </xdr:sp>
    <xdr:clientData/>
  </xdr:twoCellAnchor>
  <xdr:twoCellAnchor>
    <xdr:from>
      <xdr:col>2</xdr:col>
      <xdr:colOff>400050</xdr:colOff>
      <xdr:row>13</xdr:row>
      <xdr:rowOff>0</xdr:rowOff>
    </xdr:from>
    <xdr:to>
      <xdr:col>4</xdr:col>
      <xdr:colOff>600075</xdr:colOff>
      <xdr:row>15</xdr:row>
      <xdr:rowOff>123825</xdr:rowOff>
    </xdr:to>
    <xdr:sp macro="" textlink="">
      <xdr:nvSpPr>
        <xdr:cNvPr id="191" name="Rounded Rectangle 7">
          <a:extLst>
            <a:ext uri="{FF2B5EF4-FFF2-40B4-BE49-F238E27FC236}">
              <a16:creationId xmlns:a16="http://schemas.microsoft.com/office/drawing/2014/main" id="{F903CF0E-378D-474E-8FCF-4723930406BF}"/>
            </a:ext>
            <a:ext uri="{147F2762-F138-4A5C-976F-8EAC2B608ADB}">
              <a16:predDERef xmlns:a16="http://schemas.microsoft.com/office/drawing/2014/main" pred="{2B6720CD-7EE4-FCD0-3888-6A699923B39E}"/>
            </a:ext>
          </a:extLst>
        </xdr:cNvPr>
        <xdr:cNvSpPr/>
      </xdr:nvSpPr>
      <xdr:spPr>
        <a:xfrm>
          <a:off x="1619250" y="2228850"/>
          <a:ext cx="1419225" cy="46672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Average mortality rate</a:t>
          </a:r>
        </a:p>
      </xdr:txBody>
    </xdr:sp>
    <xdr:clientData/>
  </xdr:twoCellAnchor>
  <xdr:twoCellAnchor>
    <xdr:from>
      <xdr:col>7</xdr:col>
      <xdr:colOff>533400</xdr:colOff>
      <xdr:row>4</xdr:row>
      <xdr:rowOff>19050</xdr:rowOff>
    </xdr:from>
    <xdr:to>
      <xdr:col>10</xdr:col>
      <xdr:colOff>133350</xdr:colOff>
      <xdr:row>8</xdr:row>
      <xdr:rowOff>76200</xdr:rowOff>
    </xdr:to>
    <xdr:sp macro="" textlink="">
      <xdr:nvSpPr>
        <xdr:cNvPr id="187" name="Rounded Rectangle 8">
          <a:extLst>
            <a:ext uri="{FF2B5EF4-FFF2-40B4-BE49-F238E27FC236}">
              <a16:creationId xmlns:a16="http://schemas.microsoft.com/office/drawing/2014/main" id="{4EB4F73C-F09E-421F-AA26-674199FEB012}"/>
            </a:ext>
            <a:ext uri="{147F2762-F138-4A5C-976F-8EAC2B608ADB}">
              <a16:predDERef xmlns:a16="http://schemas.microsoft.com/office/drawing/2014/main" pred="{F903CF0E-378D-474E-8FCF-4723930406BF}"/>
            </a:ext>
          </a:extLst>
        </xdr:cNvPr>
        <xdr:cNvSpPr/>
      </xdr:nvSpPr>
      <xdr:spPr>
        <a:xfrm>
          <a:off x="4800600" y="704850"/>
          <a:ext cx="1428750" cy="7429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Demand: Age-specific projected population rate</a:t>
          </a:r>
        </a:p>
      </xdr:txBody>
    </xdr:sp>
    <xdr:clientData/>
  </xdr:twoCellAnchor>
  <xdr:twoCellAnchor>
    <xdr:from>
      <xdr:col>8</xdr:col>
      <xdr:colOff>85725</xdr:colOff>
      <xdr:row>12</xdr:row>
      <xdr:rowOff>9525</xdr:rowOff>
    </xdr:from>
    <xdr:to>
      <xdr:col>10</xdr:col>
      <xdr:colOff>38100</xdr:colOff>
      <xdr:row>15</xdr:row>
      <xdr:rowOff>142875</xdr:rowOff>
    </xdr:to>
    <xdr:sp macro="" textlink="">
      <xdr:nvSpPr>
        <xdr:cNvPr id="201" name="Rounded Rectangle 9">
          <a:extLst>
            <a:ext uri="{FF2B5EF4-FFF2-40B4-BE49-F238E27FC236}">
              <a16:creationId xmlns:a16="http://schemas.microsoft.com/office/drawing/2014/main" id="{FBCBB558-54A3-4AE9-B423-19C85CB98F8D}"/>
            </a:ext>
            <a:ext uri="{147F2762-F138-4A5C-976F-8EAC2B608ADB}">
              <a16:predDERef xmlns:a16="http://schemas.microsoft.com/office/drawing/2014/main" pred="{4EB4F73C-F09E-421F-AA26-674199FEB012}"/>
            </a:ext>
          </a:extLst>
        </xdr:cNvPr>
        <xdr:cNvSpPr/>
      </xdr:nvSpPr>
      <xdr:spPr>
        <a:xfrm>
          <a:off x="4962525" y="2066925"/>
          <a:ext cx="1171575" cy="6477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Age-specific hospital admission rate</a:t>
          </a:r>
        </a:p>
      </xdr:txBody>
    </xdr:sp>
    <xdr:clientData/>
  </xdr:twoCellAnchor>
  <xdr:twoCellAnchor>
    <xdr:from>
      <xdr:col>10</xdr:col>
      <xdr:colOff>561975</xdr:colOff>
      <xdr:row>3</xdr:row>
      <xdr:rowOff>142875</xdr:rowOff>
    </xdr:from>
    <xdr:to>
      <xdr:col>12</xdr:col>
      <xdr:colOff>495300</xdr:colOff>
      <xdr:row>7</xdr:row>
      <xdr:rowOff>76200</xdr:rowOff>
    </xdr:to>
    <xdr:sp macro="" textlink="">
      <xdr:nvSpPr>
        <xdr:cNvPr id="203" name="Rounded Rectangle 10">
          <a:extLst>
            <a:ext uri="{FF2B5EF4-FFF2-40B4-BE49-F238E27FC236}">
              <a16:creationId xmlns:a16="http://schemas.microsoft.com/office/drawing/2014/main" id="{15DEFBBE-7F58-43ED-9598-61ED615EB485}"/>
            </a:ext>
            <a:ext uri="{147F2762-F138-4A5C-976F-8EAC2B608ADB}">
              <a16:predDERef xmlns:a16="http://schemas.microsoft.com/office/drawing/2014/main" pred="{FBCBB558-54A3-4AE9-B423-19C85CB98F8D}"/>
            </a:ext>
          </a:extLst>
        </xdr:cNvPr>
        <xdr:cNvSpPr/>
      </xdr:nvSpPr>
      <xdr:spPr>
        <a:xfrm>
          <a:off x="6657975" y="657225"/>
          <a:ext cx="1152525" cy="6191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Healthcare consumer price index</a:t>
          </a:r>
        </a:p>
      </xdr:txBody>
    </xdr:sp>
    <xdr:clientData/>
  </xdr:twoCellAnchor>
  <xdr:twoCellAnchor>
    <xdr:from>
      <xdr:col>10</xdr:col>
      <xdr:colOff>457200</xdr:colOff>
      <xdr:row>7</xdr:row>
      <xdr:rowOff>161925</xdr:rowOff>
    </xdr:from>
    <xdr:to>
      <xdr:col>13</xdr:col>
      <xdr:colOff>57150</xdr:colOff>
      <xdr:row>12</xdr:row>
      <xdr:rowOff>47625</xdr:rowOff>
    </xdr:to>
    <xdr:sp macro="" textlink="">
      <xdr:nvSpPr>
        <xdr:cNvPr id="183" name="Rounded Rectangle 11">
          <a:extLst>
            <a:ext uri="{FF2B5EF4-FFF2-40B4-BE49-F238E27FC236}">
              <a16:creationId xmlns:a16="http://schemas.microsoft.com/office/drawing/2014/main" id="{922A08C8-F52E-4A33-B8D2-FD196EB09486}"/>
            </a:ext>
            <a:ext uri="{147F2762-F138-4A5C-976F-8EAC2B608ADB}">
              <a16:predDERef xmlns:a16="http://schemas.microsoft.com/office/drawing/2014/main" pred="{15DEFBBE-7F58-43ED-9598-61ED615EB485}"/>
            </a:ext>
          </a:extLst>
        </xdr:cNvPr>
        <xdr:cNvSpPr/>
      </xdr:nvSpPr>
      <xdr:spPr>
        <a:xfrm>
          <a:off x="6553200" y="1362075"/>
          <a:ext cx="1428750" cy="7429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Projected age-specific hospital admission rate</a:t>
          </a:r>
        </a:p>
      </xdr:txBody>
    </xdr:sp>
    <xdr:clientData/>
  </xdr:twoCellAnchor>
  <xdr:twoCellAnchor>
    <xdr:from>
      <xdr:col>13</xdr:col>
      <xdr:colOff>590550</xdr:colOff>
      <xdr:row>0</xdr:row>
      <xdr:rowOff>142875</xdr:rowOff>
    </xdr:from>
    <xdr:to>
      <xdr:col>16</xdr:col>
      <xdr:colOff>190500</xdr:colOff>
      <xdr:row>3</xdr:row>
      <xdr:rowOff>133350</xdr:rowOff>
    </xdr:to>
    <xdr:sp macro="" textlink="">
      <xdr:nvSpPr>
        <xdr:cNvPr id="175" name="Rounded Rectangle 12">
          <a:extLst>
            <a:ext uri="{FF2B5EF4-FFF2-40B4-BE49-F238E27FC236}">
              <a16:creationId xmlns:a16="http://schemas.microsoft.com/office/drawing/2014/main" id="{6E518691-4178-4D0F-9B3F-45F02289899A}"/>
            </a:ext>
            <a:ext uri="{147F2762-F138-4A5C-976F-8EAC2B608ADB}">
              <a16:predDERef xmlns:a16="http://schemas.microsoft.com/office/drawing/2014/main" pred="{922A08C8-F52E-4A33-B8D2-FD196EB09486}"/>
            </a:ext>
          </a:extLst>
        </xdr:cNvPr>
        <xdr:cNvSpPr/>
      </xdr:nvSpPr>
      <xdr:spPr>
        <a:xfrm>
          <a:off x="8515350" y="142875"/>
          <a:ext cx="1428750" cy="50482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Medical inflation rate</a:t>
          </a:r>
        </a:p>
      </xdr:txBody>
    </xdr:sp>
    <xdr:clientData/>
  </xdr:twoCellAnchor>
  <xdr:twoCellAnchor>
    <xdr:from>
      <xdr:col>14</xdr:col>
      <xdr:colOff>142875</xdr:colOff>
      <xdr:row>9</xdr:row>
      <xdr:rowOff>95250</xdr:rowOff>
    </xdr:from>
    <xdr:to>
      <xdr:col>16</xdr:col>
      <xdr:colOff>352425</xdr:colOff>
      <xdr:row>13</xdr:row>
      <xdr:rowOff>161925</xdr:rowOff>
    </xdr:to>
    <xdr:sp macro="" textlink="">
      <xdr:nvSpPr>
        <xdr:cNvPr id="177" name="Rounded Rectangle 15">
          <a:extLst>
            <a:ext uri="{FF2B5EF4-FFF2-40B4-BE49-F238E27FC236}">
              <a16:creationId xmlns:a16="http://schemas.microsoft.com/office/drawing/2014/main" id="{45D66F8E-256C-4F66-9C02-B09EA625DC85}"/>
            </a:ext>
            <a:ext uri="{147F2762-F138-4A5C-976F-8EAC2B608ADB}">
              <a16:predDERef xmlns:a16="http://schemas.microsoft.com/office/drawing/2014/main" pred="{6E518691-4178-4D0F-9B3F-45F02289899A}"/>
            </a:ext>
          </a:extLst>
        </xdr:cNvPr>
        <xdr:cNvSpPr/>
      </xdr:nvSpPr>
      <xdr:spPr>
        <a:xfrm>
          <a:off x="8677275" y="1638300"/>
          <a:ext cx="1428750" cy="75247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Total annual hospital bed-day demand</a:t>
          </a:r>
        </a:p>
      </xdr:txBody>
    </xdr:sp>
    <xdr:clientData/>
  </xdr:twoCellAnchor>
  <xdr:twoCellAnchor>
    <xdr:from>
      <xdr:col>10</xdr:col>
      <xdr:colOff>123825</xdr:colOff>
      <xdr:row>16</xdr:row>
      <xdr:rowOff>19050</xdr:rowOff>
    </xdr:from>
    <xdr:to>
      <xdr:col>12</xdr:col>
      <xdr:colOff>104775</xdr:colOff>
      <xdr:row>18</xdr:row>
      <xdr:rowOff>133350</xdr:rowOff>
    </xdr:to>
    <xdr:sp macro="" textlink="">
      <xdr:nvSpPr>
        <xdr:cNvPr id="202" name="Rounded Rectangle 18">
          <a:extLst>
            <a:ext uri="{FF2B5EF4-FFF2-40B4-BE49-F238E27FC236}">
              <a16:creationId xmlns:a16="http://schemas.microsoft.com/office/drawing/2014/main" id="{C9BBDCE1-62A1-4809-9F61-34FA2080077D}"/>
            </a:ext>
            <a:ext uri="{147F2762-F138-4A5C-976F-8EAC2B608ADB}">
              <a16:predDERef xmlns:a16="http://schemas.microsoft.com/office/drawing/2014/main" pred="{45D66F8E-256C-4F66-9C02-B09EA625DC85}"/>
            </a:ext>
          </a:extLst>
        </xdr:cNvPr>
        <xdr:cNvSpPr/>
      </xdr:nvSpPr>
      <xdr:spPr>
        <a:xfrm>
          <a:off x="6219825" y="2762250"/>
          <a:ext cx="1200150" cy="4572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Beds in public acute hospital</a:t>
          </a:r>
        </a:p>
      </xdr:txBody>
    </xdr:sp>
    <xdr:clientData/>
  </xdr:twoCellAnchor>
  <xdr:twoCellAnchor>
    <xdr:from>
      <xdr:col>15</xdr:col>
      <xdr:colOff>85725</xdr:colOff>
      <xdr:row>15</xdr:row>
      <xdr:rowOff>19050</xdr:rowOff>
    </xdr:from>
    <xdr:to>
      <xdr:col>17</xdr:col>
      <xdr:colOff>66675</xdr:colOff>
      <xdr:row>19</xdr:row>
      <xdr:rowOff>161925</xdr:rowOff>
    </xdr:to>
    <xdr:sp macro="" textlink="">
      <xdr:nvSpPr>
        <xdr:cNvPr id="205" name="Rounded Rectangle 19">
          <a:extLst>
            <a:ext uri="{FF2B5EF4-FFF2-40B4-BE49-F238E27FC236}">
              <a16:creationId xmlns:a16="http://schemas.microsoft.com/office/drawing/2014/main" id="{53BA19ED-F438-4898-9E2C-6F714CEB98E4}"/>
            </a:ext>
            <a:ext uri="{147F2762-F138-4A5C-976F-8EAC2B608ADB}">
              <a16:predDERef xmlns:a16="http://schemas.microsoft.com/office/drawing/2014/main" pred="{C9BBDCE1-62A1-4809-9F61-34FA2080077D}"/>
            </a:ext>
          </a:extLst>
        </xdr:cNvPr>
        <xdr:cNvSpPr/>
      </xdr:nvSpPr>
      <xdr:spPr>
        <a:xfrm>
          <a:off x="9229725" y="2590800"/>
          <a:ext cx="1200150" cy="8286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Government operating expenditure on health</a:t>
          </a:r>
        </a:p>
      </xdr:txBody>
    </xdr:sp>
    <xdr:clientData/>
  </xdr:twoCellAnchor>
  <xdr:twoCellAnchor>
    <xdr:from>
      <xdr:col>17</xdr:col>
      <xdr:colOff>447675</xdr:colOff>
      <xdr:row>16</xdr:row>
      <xdr:rowOff>161925</xdr:rowOff>
    </xdr:from>
    <xdr:to>
      <xdr:col>20</xdr:col>
      <xdr:colOff>47625</xdr:colOff>
      <xdr:row>22</xdr:row>
      <xdr:rowOff>123825</xdr:rowOff>
    </xdr:to>
    <xdr:sp macro="" textlink="">
      <xdr:nvSpPr>
        <xdr:cNvPr id="172" name="Rounded Rectangle 14">
          <a:extLst>
            <a:ext uri="{FF2B5EF4-FFF2-40B4-BE49-F238E27FC236}">
              <a16:creationId xmlns:a16="http://schemas.microsoft.com/office/drawing/2014/main" id="{5EAC03DC-2B53-485A-8E1F-F6976EFF589A}"/>
            </a:ext>
            <a:ext uri="{147F2762-F138-4A5C-976F-8EAC2B608ADB}">
              <a16:predDERef xmlns:a16="http://schemas.microsoft.com/office/drawing/2014/main" pred="{53BA19ED-F438-4898-9E2C-6F714CEB98E4}"/>
            </a:ext>
          </a:extLst>
        </xdr:cNvPr>
        <xdr:cNvSpPr/>
      </xdr:nvSpPr>
      <xdr:spPr>
        <a:xfrm>
          <a:off x="10810875" y="2905125"/>
          <a:ext cx="1428750" cy="9906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Projected government operating expenditure on hospital budget</a:t>
          </a:r>
        </a:p>
      </xdr:txBody>
    </xdr:sp>
    <xdr:clientData/>
  </xdr:twoCellAnchor>
  <xdr:twoCellAnchor>
    <xdr:from>
      <xdr:col>17</xdr:col>
      <xdr:colOff>400050</xdr:colOff>
      <xdr:row>6</xdr:row>
      <xdr:rowOff>161925</xdr:rowOff>
    </xdr:from>
    <xdr:to>
      <xdr:col>20</xdr:col>
      <xdr:colOff>0</xdr:colOff>
      <xdr:row>11</xdr:row>
      <xdr:rowOff>114300</xdr:rowOff>
    </xdr:to>
    <xdr:sp macro="" textlink="">
      <xdr:nvSpPr>
        <xdr:cNvPr id="173" name="Rounded Rectangle 4">
          <a:extLst>
            <a:ext uri="{FF2B5EF4-FFF2-40B4-BE49-F238E27FC236}">
              <a16:creationId xmlns:a16="http://schemas.microsoft.com/office/drawing/2014/main" id="{AD32B6AB-C8FF-4CB5-B9FD-90AA60382F95}"/>
            </a:ext>
            <a:ext uri="{147F2762-F138-4A5C-976F-8EAC2B608ADB}">
              <a16:predDERef xmlns:a16="http://schemas.microsoft.com/office/drawing/2014/main" pred="{5EAC03DC-2B53-485A-8E1F-F6976EFF589A}"/>
            </a:ext>
          </a:extLst>
        </xdr:cNvPr>
        <xdr:cNvSpPr/>
      </xdr:nvSpPr>
      <xdr:spPr>
        <a:xfrm>
          <a:off x="10763250" y="1190625"/>
          <a:ext cx="1428750" cy="80962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Projected government funded annual hospital costs</a:t>
          </a:r>
        </a:p>
      </xdr:txBody>
    </xdr:sp>
    <xdr:clientData/>
  </xdr:twoCellAnchor>
  <xdr:twoCellAnchor>
    <xdr:from>
      <xdr:col>5</xdr:col>
      <xdr:colOff>323850</xdr:colOff>
      <xdr:row>6</xdr:row>
      <xdr:rowOff>85725</xdr:rowOff>
    </xdr:from>
    <xdr:to>
      <xdr:col>7</xdr:col>
      <xdr:colOff>219075</xdr:colOff>
      <xdr:row>9</xdr:row>
      <xdr:rowOff>38100</xdr:rowOff>
    </xdr:to>
    <xdr:sp macro="" textlink="">
      <xdr:nvSpPr>
        <xdr:cNvPr id="188" name="Rounded Rectangle 5">
          <a:extLst>
            <a:ext uri="{FF2B5EF4-FFF2-40B4-BE49-F238E27FC236}">
              <a16:creationId xmlns:a16="http://schemas.microsoft.com/office/drawing/2014/main" id="{24BC7D9C-9184-490C-975C-E25761CAE7DB}"/>
            </a:ext>
            <a:ext uri="{147F2762-F138-4A5C-976F-8EAC2B608ADB}">
              <a16:predDERef xmlns:a16="http://schemas.microsoft.com/office/drawing/2014/main" pred="{AD32B6AB-C8FF-4CB5-B9FD-90AA60382F95}"/>
            </a:ext>
          </a:extLst>
        </xdr:cNvPr>
        <xdr:cNvSpPr/>
      </xdr:nvSpPr>
      <xdr:spPr>
        <a:xfrm>
          <a:off x="3371850" y="1114425"/>
          <a:ext cx="1114425" cy="46672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Average survival rate</a:t>
          </a:r>
        </a:p>
      </xdr:txBody>
    </xdr:sp>
    <xdr:clientData/>
  </xdr:twoCellAnchor>
  <xdr:twoCellAnchor>
    <xdr:from>
      <xdr:col>21</xdr:col>
      <xdr:colOff>76200</xdr:colOff>
      <xdr:row>14</xdr:row>
      <xdr:rowOff>9525</xdr:rowOff>
    </xdr:from>
    <xdr:to>
      <xdr:col>23</xdr:col>
      <xdr:colOff>285750</xdr:colOff>
      <xdr:row>17</xdr:row>
      <xdr:rowOff>19050</xdr:rowOff>
    </xdr:to>
    <xdr:sp macro="" textlink="">
      <xdr:nvSpPr>
        <xdr:cNvPr id="169" name="Rounded Rectangle 1">
          <a:extLst>
            <a:ext uri="{FF2B5EF4-FFF2-40B4-BE49-F238E27FC236}">
              <a16:creationId xmlns:a16="http://schemas.microsoft.com/office/drawing/2014/main" id="{DB9A7279-4185-42F3-9A51-92CED5EF84E8}"/>
            </a:ext>
            <a:ext uri="{147F2762-F138-4A5C-976F-8EAC2B608ADB}">
              <a16:predDERef xmlns:a16="http://schemas.microsoft.com/office/drawing/2014/main" pred="{24BC7D9C-9184-490C-975C-E25761CAE7DB}"/>
            </a:ext>
          </a:extLst>
        </xdr:cNvPr>
        <xdr:cNvSpPr/>
      </xdr:nvSpPr>
      <xdr:spPr>
        <a:xfrm>
          <a:off x="12877800" y="2409825"/>
          <a:ext cx="1428750" cy="52387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Financing Gap (Surplus or deficit)</a:t>
          </a:r>
        </a:p>
      </xdr:txBody>
    </xdr:sp>
    <xdr:clientData/>
  </xdr:twoCellAnchor>
  <xdr:twoCellAnchor>
    <xdr:from>
      <xdr:col>13</xdr:col>
      <xdr:colOff>295275</xdr:colOff>
      <xdr:row>16</xdr:row>
      <xdr:rowOff>95250</xdr:rowOff>
    </xdr:from>
    <xdr:to>
      <xdr:col>15</xdr:col>
      <xdr:colOff>19050</xdr:colOff>
      <xdr:row>20</xdr:row>
      <xdr:rowOff>104775</xdr:rowOff>
    </xdr:to>
    <xdr:sp macro="" textlink="">
      <xdr:nvSpPr>
        <xdr:cNvPr id="182" name="Rounded Rectangle 2">
          <a:extLst>
            <a:ext uri="{FF2B5EF4-FFF2-40B4-BE49-F238E27FC236}">
              <a16:creationId xmlns:a16="http://schemas.microsoft.com/office/drawing/2014/main" id="{856B2360-ED01-4D6A-BC9A-FADF232B882C}"/>
            </a:ext>
            <a:ext uri="{147F2762-F138-4A5C-976F-8EAC2B608ADB}">
              <a16:predDERef xmlns:a16="http://schemas.microsoft.com/office/drawing/2014/main" pred="{DB9A7279-4185-42F3-9A51-92CED5EF84E8}"/>
            </a:ext>
          </a:extLst>
        </xdr:cNvPr>
        <xdr:cNvSpPr/>
      </xdr:nvSpPr>
      <xdr:spPr>
        <a:xfrm>
          <a:off x="8220075" y="2838450"/>
          <a:ext cx="942975" cy="69532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Bed occupancy rate</a:t>
          </a:r>
        </a:p>
      </xdr:txBody>
    </xdr:sp>
    <xdr:clientData/>
  </xdr:twoCellAnchor>
  <xdr:twoCellAnchor>
    <xdr:from>
      <xdr:col>14</xdr:col>
      <xdr:colOff>142875</xdr:colOff>
      <xdr:row>4</xdr:row>
      <xdr:rowOff>47625</xdr:rowOff>
    </xdr:from>
    <xdr:to>
      <xdr:col>16</xdr:col>
      <xdr:colOff>123825</xdr:colOff>
      <xdr:row>8</xdr:row>
      <xdr:rowOff>123825</xdr:rowOff>
    </xdr:to>
    <xdr:sp macro="" textlink="">
      <xdr:nvSpPr>
        <xdr:cNvPr id="204" name="Rounded Rectangle 23">
          <a:extLst>
            <a:ext uri="{FF2B5EF4-FFF2-40B4-BE49-F238E27FC236}">
              <a16:creationId xmlns:a16="http://schemas.microsoft.com/office/drawing/2014/main" id="{429FAC62-F74F-48D4-B954-5257815ADEAB}"/>
            </a:ext>
            <a:ext uri="{147F2762-F138-4A5C-976F-8EAC2B608ADB}">
              <a16:predDERef xmlns:a16="http://schemas.microsoft.com/office/drawing/2014/main" pred="{856B2360-ED01-4D6A-BC9A-FADF232B882C}"/>
            </a:ext>
          </a:extLst>
        </xdr:cNvPr>
        <xdr:cNvSpPr/>
      </xdr:nvSpPr>
      <xdr:spPr>
        <a:xfrm>
          <a:off x="8677275" y="733425"/>
          <a:ext cx="1200150" cy="762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Government cost per admission per day</a:t>
          </a:r>
        </a:p>
      </xdr:txBody>
    </xdr:sp>
    <xdr:clientData/>
  </xdr:twoCellAnchor>
  <xdr:twoCellAnchor>
    <xdr:from>
      <xdr:col>16</xdr:col>
      <xdr:colOff>190500</xdr:colOff>
      <xdr:row>2</xdr:row>
      <xdr:rowOff>52388</xdr:rowOff>
    </xdr:from>
    <xdr:to>
      <xdr:col>17</xdr:col>
      <xdr:colOff>400050</xdr:colOff>
      <xdr:row>9</xdr:row>
      <xdr:rowOff>52388</xdr:rowOff>
    </xdr:to>
    <xdr:cxnSp macro="">
      <xdr:nvCxnSpPr>
        <xdr:cNvPr id="73" name="Elbow Connector 25">
          <a:extLst>
            <a:ext uri="{FF2B5EF4-FFF2-40B4-BE49-F238E27FC236}">
              <a16:creationId xmlns:a16="http://schemas.microsoft.com/office/drawing/2014/main" id="{00B527B2-8270-35F7-2EBC-504E0731F68E}"/>
            </a:ext>
            <a:ext uri="{147F2762-F138-4A5C-976F-8EAC2B608ADB}">
              <a16:predDERef xmlns:a16="http://schemas.microsoft.com/office/drawing/2014/main" pred="{429FAC62-F74F-48D4-B954-5257815ADEAB}"/>
            </a:ext>
          </a:extLst>
        </xdr:cNvPr>
        <xdr:cNvCxnSpPr>
          <a:cxnSpLocks/>
          <a:stCxn id="175" idx="3"/>
          <a:endCxn id="173" idx="1"/>
          <a:extLst>
            <a:ext uri="{5F17804C-33F3-41E3-A699-7DCFA2EF7971}">
              <a16:cxnDERefs xmlns:a16="http://schemas.microsoft.com/office/drawing/2014/main" st="{6E518691-4178-4D0F-9B3F-45F02289899A}" end="{AD32B6AB-C8FF-4CB5-B9FD-90AA60382F95}"/>
            </a:ext>
          </a:extLst>
        </xdr:cNvCxnSpPr>
      </xdr:nvCxnSpPr>
      <xdr:spPr>
        <a:xfrm>
          <a:off x="9944100" y="395288"/>
          <a:ext cx="819150" cy="12001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514350</xdr:colOff>
      <xdr:row>2</xdr:row>
      <xdr:rowOff>52388</xdr:rowOff>
    </xdr:from>
    <xdr:to>
      <xdr:col>13</xdr:col>
      <xdr:colOff>590550</xdr:colOff>
      <xdr:row>5</xdr:row>
      <xdr:rowOff>9525</xdr:rowOff>
    </xdr:to>
    <xdr:cxnSp macro="">
      <xdr:nvCxnSpPr>
        <xdr:cNvPr id="28" name="Elbow Connector 27">
          <a:extLst>
            <a:ext uri="{FF2B5EF4-FFF2-40B4-BE49-F238E27FC236}">
              <a16:creationId xmlns:a16="http://schemas.microsoft.com/office/drawing/2014/main" id="{E056AE30-921B-CFD5-3155-44A1ED01FAE1}"/>
            </a:ext>
            <a:ext uri="{147F2762-F138-4A5C-976F-8EAC2B608ADB}">
              <a16:predDERef xmlns:a16="http://schemas.microsoft.com/office/drawing/2014/main" pred="{00B527B2-8270-35F7-2EBC-504E0731F68E}"/>
            </a:ext>
          </a:extLst>
        </xdr:cNvPr>
        <xdr:cNvCxnSpPr>
          <a:cxnSpLocks/>
          <a:endCxn id="175" idx="1"/>
          <a:extLst>
            <a:ext uri="{5F17804C-33F3-41E3-A699-7DCFA2EF7971}">
              <a16:cxnDERefs xmlns:a16="http://schemas.microsoft.com/office/drawing/2014/main" st="{00000000-0000-0000-0000-000000000000}" end="{6E518691-4178-4D0F-9B3F-45F02289899A}"/>
            </a:ext>
          </a:extLst>
        </xdr:cNvCxnSpPr>
      </xdr:nvCxnSpPr>
      <xdr:spPr>
        <a:xfrm flipV="1">
          <a:off x="7829550" y="395288"/>
          <a:ext cx="685800" cy="47148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10</xdr:row>
      <xdr:rowOff>19050</xdr:rowOff>
    </xdr:from>
    <xdr:to>
      <xdr:col>14</xdr:col>
      <xdr:colOff>123825</xdr:colOff>
      <xdr:row>10</xdr:row>
      <xdr:rowOff>152400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2B12C0A4-D1B2-3281-CAFA-FD4DFD81AC5E}"/>
            </a:ext>
            <a:ext uri="{147F2762-F138-4A5C-976F-8EAC2B608ADB}">
              <a16:predDERef xmlns:a16="http://schemas.microsoft.com/office/drawing/2014/main" pred="{E056AE30-921B-CFD5-3155-44A1ED01FAE1}"/>
            </a:ext>
          </a:extLst>
        </xdr:cNvPr>
        <xdr:cNvCxnSpPr>
          <a:cxnSpLocks/>
          <a:stCxn id="183" idx="3"/>
          <a:extLst>
            <a:ext uri="{5F17804C-33F3-41E3-A699-7DCFA2EF7971}">
              <a16:cxnDERefs xmlns:a16="http://schemas.microsoft.com/office/drawing/2014/main" st="{922A08C8-F52E-4A33-B8D2-FD196EB09486}" end="{45D66F8E-256C-4F66-9C02-B09EA625DC85}"/>
            </a:ext>
          </a:extLst>
        </xdr:cNvCxnSpPr>
      </xdr:nvCxnSpPr>
      <xdr:spPr>
        <a:xfrm>
          <a:off x="7981950" y="1733550"/>
          <a:ext cx="676275" cy="1333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10</xdr:row>
      <xdr:rowOff>19050</xdr:rowOff>
    </xdr:from>
    <xdr:to>
      <xdr:col>13</xdr:col>
      <xdr:colOff>295275</xdr:colOff>
      <xdr:row>18</xdr:row>
      <xdr:rowOff>100013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25986F36-090C-ED89-6B8F-528852850423}"/>
            </a:ext>
            <a:ext uri="{147F2762-F138-4A5C-976F-8EAC2B608ADB}">
              <a16:predDERef xmlns:a16="http://schemas.microsoft.com/office/drawing/2014/main" pred="{2B12C0A4-D1B2-3281-CAFA-FD4DFD81AC5E}"/>
            </a:ext>
          </a:extLst>
        </xdr:cNvPr>
        <xdr:cNvCxnSpPr>
          <a:cxnSpLocks/>
          <a:stCxn id="183" idx="3"/>
          <a:endCxn id="182" idx="1"/>
          <a:extLst>
            <a:ext uri="{5F17804C-33F3-41E3-A699-7DCFA2EF7971}">
              <a16:cxnDERefs xmlns:a16="http://schemas.microsoft.com/office/drawing/2014/main" st="{922A08C8-F52E-4A33-B8D2-FD196EB09486}" end="{856B2360-ED01-4D6A-BC9A-FADF232B882C}"/>
            </a:ext>
          </a:extLst>
        </xdr:cNvCxnSpPr>
      </xdr:nvCxnSpPr>
      <xdr:spPr>
        <a:xfrm>
          <a:off x="7981950" y="1733550"/>
          <a:ext cx="238125" cy="145256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17</xdr:row>
      <xdr:rowOff>152400</xdr:rowOff>
    </xdr:from>
    <xdr:to>
      <xdr:col>13</xdr:col>
      <xdr:colOff>295275</xdr:colOff>
      <xdr:row>18</xdr:row>
      <xdr:rowOff>100013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37A7C640-3E39-E8EB-415B-2928F9E9893C}"/>
            </a:ext>
            <a:ext uri="{147F2762-F138-4A5C-976F-8EAC2B608ADB}">
              <a16:predDERef xmlns:a16="http://schemas.microsoft.com/office/drawing/2014/main" pred="{25986F36-090C-ED89-6B8F-528852850423}"/>
            </a:ext>
          </a:extLst>
        </xdr:cNvPr>
        <xdr:cNvCxnSpPr>
          <a:cxnSpLocks/>
          <a:endCxn id="182" idx="1"/>
          <a:extLst>
            <a:ext uri="{5F17804C-33F3-41E3-A699-7DCFA2EF7971}">
              <a16:cxnDERefs xmlns:a16="http://schemas.microsoft.com/office/drawing/2014/main" st="{C9BBDCE1-62A1-4809-9F61-34FA2080077D}" end="{856B2360-ED01-4D6A-BC9A-FADF232B882C}"/>
            </a:ext>
          </a:extLst>
        </xdr:cNvCxnSpPr>
      </xdr:nvCxnSpPr>
      <xdr:spPr>
        <a:xfrm>
          <a:off x="7419975" y="3067050"/>
          <a:ext cx="800100" cy="11906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10</xdr:row>
      <xdr:rowOff>47625</xdr:rowOff>
    </xdr:from>
    <xdr:to>
      <xdr:col>2</xdr:col>
      <xdr:colOff>371475</xdr:colOff>
      <xdr:row>10</xdr:row>
      <xdr:rowOff>138113</xdr:rowOff>
    </xdr:to>
    <xdr:cxnSp macro="">
      <xdr:nvCxnSpPr>
        <xdr:cNvPr id="198" name="Elbow Connector 31">
          <a:extLst>
            <a:ext uri="{FF2B5EF4-FFF2-40B4-BE49-F238E27FC236}">
              <a16:creationId xmlns:a16="http://schemas.microsoft.com/office/drawing/2014/main" id="{3A2C6DE8-F68E-FB8A-BC13-189E66BE7DB8}"/>
            </a:ext>
            <a:ext uri="{147F2762-F138-4A5C-976F-8EAC2B608ADB}">
              <a16:predDERef xmlns:a16="http://schemas.microsoft.com/office/drawing/2014/main" pred="{37A7C640-3E39-E8EB-415B-2928F9E9893C}"/>
            </a:ext>
          </a:extLst>
        </xdr:cNvPr>
        <xdr:cNvCxnSpPr>
          <a:cxnSpLocks/>
          <a:stCxn id="196" idx="3"/>
          <a:endCxn id="190" idx="1"/>
          <a:extLst>
            <a:ext uri="{5F17804C-33F3-41E3-A699-7DCFA2EF7971}">
              <a16:cxnDERefs xmlns:a16="http://schemas.microsoft.com/office/drawing/2014/main" st="{5753A752-1AED-60CD-A680-853D441DA904}" end="{2B6720CD-7EE4-FCD0-3888-6A699923B39E}"/>
            </a:ext>
          </a:extLst>
        </xdr:cNvCxnSpPr>
      </xdr:nvCxnSpPr>
      <xdr:spPr>
        <a:xfrm flipV="1">
          <a:off x="1257300" y="1847850"/>
          <a:ext cx="333375" cy="9048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14</xdr:row>
      <xdr:rowOff>61913</xdr:rowOff>
    </xdr:from>
    <xdr:to>
      <xdr:col>2</xdr:col>
      <xdr:colOff>400050</xdr:colOff>
      <xdr:row>15</xdr:row>
      <xdr:rowOff>0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1AC836B5-A263-18B8-A2AA-2A1E4A7F4F06}"/>
            </a:ext>
            <a:ext uri="{147F2762-F138-4A5C-976F-8EAC2B608ADB}">
              <a16:predDERef xmlns:a16="http://schemas.microsoft.com/office/drawing/2014/main" pred="{3A2C6DE8-F68E-FB8A-BC13-189E66BE7DB8}"/>
            </a:ext>
          </a:extLst>
        </xdr:cNvPr>
        <xdr:cNvCxnSpPr>
          <a:cxnSpLocks/>
          <a:stCxn id="199" idx="3"/>
          <a:endCxn id="191" idx="1"/>
          <a:extLst>
            <a:ext uri="{5F17804C-33F3-41E3-A699-7DCFA2EF7971}">
              <a16:cxnDERefs xmlns:a16="http://schemas.microsoft.com/office/drawing/2014/main" st="{7F0AD60F-3F70-4D6F-B750-3030E2E811F4}" end="{F903CF0E-378D-474E-8FCF-4723930406BF}"/>
            </a:ext>
          </a:extLst>
        </xdr:cNvCxnSpPr>
      </xdr:nvCxnSpPr>
      <xdr:spPr>
        <a:xfrm flipV="1">
          <a:off x="1209675" y="2547938"/>
          <a:ext cx="409575" cy="10953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7</xdr:row>
      <xdr:rowOff>147638</xdr:rowOff>
    </xdr:from>
    <xdr:to>
      <xdr:col>5</xdr:col>
      <xdr:colOff>323850</xdr:colOff>
      <xdr:row>10</xdr:row>
      <xdr:rowOff>47625</xdr:rowOff>
    </xdr:to>
    <xdr:cxnSp macro="">
      <xdr:nvCxnSpPr>
        <xdr:cNvPr id="34" name="Elbow Connector 33">
          <a:extLst>
            <a:ext uri="{FF2B5EF4-FFF2-40B4-BE49-F238E27FC236}">
              <a16:creationId xmlns:a16="http://schemas.microsoft.com/office/drawing/2014/main" id="{58049899-4624-4D55-8028-E390D1E02921}"/>
            </a:ext>
            <a:ext uri="{147F2762-F138-4A5C-976F-8EAC2B608ADB}">
              <a16:predDERef xmlns:a16="http://schemas.microsoft.com/office/drawing/2014/main" pred="{1AC836B5-A263-18B8-A2AA-2A1E4A7F4F06}"/>
            </a:ext>
          </a:extLst>
        </xdr:cNvPr>
        <xdr:cNvCxnSpPr>
          <a:cxnSpLocks/>
          <a:stCxn id="190" idx="3"/>
          <a:endCxn id="188" idx="1"/>
          <a:extLst>
            <a:ext uri="{5F17804C-33F3-41E3-A699-7DCFA2EF7971}">
              <a16:cxnDERefs xmlns:a16="http://schemas.microsoft.com/office/drawing/2014/main" st="{2B6720CD-7EE4-FCD0-3888-6A699923B39E}" end="{24BC7D9C-9184-490C-975C-E25761CAE7DB}"/>
            </a:ext>
          </a:extLst>
        </xdr:cNvCxnSpPr>
      </xdr:nvCxnSpPr>
      <xdr:spPr>
        <a:xfrm flipV="1">
          <a:off x="3019425" y="1347788"/>
          <a:ext cx="352425" cy="41433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14</xdr:row>
      <xdr:rowOff>61913</xdr:rowOff>
    </xdr:from>
    <xdr:to>
      <xdr:col>5</xdr:col>
      <xdr:colOff>342900</xdr:colOff>
      <xdr:row>15</xdr:row>
      <xdr:rowOff>38100</xdr:rowOff>
    </xdr:to>
    <xdr:cxnSp macro="">
      <xdr:nvCxnSpPr>
        <xdr:cNvPr id="35" name="Elbow Connector 34">
          <a:extLst>
            <a:ext uri="{FF2B5EF4-FFF2-40B4-BE49-F238E27FC236}">
              <a16:creationId xmlns:a16="http://schemas.microsoft.com/office/drawing/2014/main" id="{5C78C298-85C1-B5E9-FDDC-A78B1A618383}"/>
            </a:ext>
            <a:ext uri="{147F2762-F138-4A5C-976F-8EAC2B608ADB}">
              <a16:predDERef xmlns:a16="http://schemas.microsoft.com/office/drawing/2014/main" pred="{58049899-4624-4D55-8028-E390D1E02921}"/>
            </a:ext>
          </a:extLst>
        </xdr:cNvPr>
        <xdr:cNvCxnSpPr>
          <a:cxnSpLocks/>
          <a:stCxn id="191" idx="3"/>
          <a:endCxn id="200" idx="1"/>
          <a:extLst>
            <a:ext uri="{5F17804C-33F3-41E3-A699-7DCFA2EF7971}">
              <a16:cxnDERefs xmlns:a16="http://schemas.microsoft.com/office/drawing/2014/main" st="{F903CF0E-378D-474E-8FCF-4723930406BF}" end="{3E65BDFB-4B90-485A-A230-1FF0389383DE}"/>
            </a:ext>
          </a:extLst>
        </xdr:cNvCxnSpPr>
      </xdr:nvCxnSpPr>
      <xdr:spPr>
        <a:xfrm>
          <a:off x="3038475" y="2547938"/>
          <a:ext cx="352425" cy="14763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13</xdr:row>
      <xdr:rowOff>161925</xdr:rowOff>
    </xdr:from>
    <xdr:to>
      <xdr:col>8</xdr:col>
      <xdr:colOff>85725</xdr:colOff>
      <xdr:row>15</xdr:row>
      <xdr:rowOff>38100</xdr:rowOff>
    </xdr:to>
    <xdr:cxnSp macro="">
      <xdr:nvCxnSpPr>
        <xdr:cNvPr id="37" name="Elbow Connector 36">
          <a:extLst>
            <a:ext uri="{FF2B5EF4-FFF2-40B4-BE49-F238E27FC236}">
              <a16:creationId xmlns:a16="http://schemas.microsoft.com/office/drawing/2014/main" id="{102BD3FC-ADB1-7783-DD24-967F70D4D030}"/>
            </a:ext>
            <a:ext uri="{147F2762-F138-4A5C-976F-8EAC2B608ADB}">
              <a16:predDERef xmlns:a16="http://schemas.microsoft.com/office/drawing/2014/main" pred="{5C78C298-85C1-B5E9-FDDC-A78B1A618383}"/>
            </a:ext>
          </a:extLst>
        </xdr:cNvPr>
        <xdr:cNvCxnSpPr>
          <a:cxnSpLocks/>
          <a:stCxn id="200" idx="3"/>
          <a:endCxn id="201" idx="1"/>
          <a:extLst>
            <a:ext uri="{5F17804C-33F3-41E3-A699-7DCFA2EF7971}">
              <a16:cxnDERefs xmlns:a16="http://schemas.microsoft.com/office/drawing/2014/main" st="{3E65BDFB-4B90-485A-A230-1FF0389383DE}" end="{FBCBB558-54A3-4AE9-B423-19C85CB98F8D}"/>
            </a:ext>
          </a:extLst>
        </xdr:cNvCxnSpPr>
      </xdr:nvCxnSpPr>
      <xdr:spPr>
        <a:xfrm flipV="1">
          <a:off x="4543425" y="2476500"/>
          <a:ext cx="419100" cy="2190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6</xdr:row>
      <xdr:rowOff>47625</xdr:rowOff>
    </xdr:from>
    <xdr:to>
      <xdr:col>7</xdr:col>
      <xdr:colOff>533400</xdr:colOff>
      <xdr:row>7</xdr:row>
      <xdr:rowOff>147638</xdr:rowOff>
    </xdr:to>
    <xdr:cxnSp macro="">
      <xdr:nvCxnSpPr>
        <xdr:cNvPr id="38" name="Elbow Connector 37">
          <a:extLst>
            <a:ext uri="{FF2B5EF4-FFF2-40B4-BE49-F238E27FC236}">
              <a16:creationId xmlns:a16="http://schemas.microsoft.com/office/drawing/2014/main" id="{694DD196-B08A-FD94-2E0B-FC5E6C39FA96}"/>
            </a:ext>
            <a:ext uri="{147F2762-F138-4A5C-976F-8EAC2B608ADB}">
              <a16:predDERef xmlns:a16="http://schemas.microsoft.com/office/drawing/2014/main" pred="{102BD3FC-ADB1-7783-DD24-967F70D4D030}"/>
            </a:ext>
          </a:extLst>
        </xdr:cNvPr>
        <xdr:cNvCxnSpPr>
          <a:cxnSpLocks/>
          <a:stCxn id="188" idx="3"/>
          <a:endCxn id="187" idx="1"/>
          <a:extLst>
            <a:ext uri="{5F17804C-33F3-41E3-A699-7DCFA2EF7971}">
              <a16:cxnDERefs xmlns:a16="http://schemas.microsoft.com/office/drawing/2014/main" st="{24BC7D9C-9184-490C-975C-E25761CAE7DB}" end="{4EB4F73C-F09E-421F-AA26-674199FEB012}"/>
            </a:ext>
          </a:extLst>
        </xdr:cNvCxnSpPr>
      </xdr:nvCxnSpPr>
      <xdr:spPr>
        <a:xfrm flipV="1">
          <a:off x="4486275" y="1076325"/>
          <a:ext cx="314325" cy="27146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6</xdr:row>
      <xdr:rowOff>47625</xdr:rowOff>
    </xdr:from>
    <xdr:to>
      <xdr:col>10</xdr:col>
      <xdr:colOff>457200</xdr:colOff>
      <xdr:row>10</xdr:row>
      <xdr:rowOff>19050</xdr:rowOff>
    </xdr:to>
    <xdr:cxnSp macro="">
      <xdr:nvCxnSpPr>
        <xdr:cNvPr id="39" name="Elbow Connector 38">
          <a:extLst>
            <a:ext uri="{FF2B5EF4-FFF2-40B4-BE49-F238E27FC236}">
              <a16:creationId xmlns:a16="http://schemas.microsoft.com/office/drawing/2014/main" id="{BE8BE8A6-5B90-90A0-9A73-E5003B26C4C6}"/>
            </a:ext>
            <a:ext uri="{147F2762-F138-4A5C-976F-8EAC2B608ADB}">
              <a16:predDERef xmlns:a16="http://schemas.microsoft.com/office/drawing/2014/main" pred="{694DD196-B08A-FD94-2E0B-FC5E6C39FA96}"/>
            </a:ext>
          </a:extLst>
        </xdr:cNvPr>
        <xdr:cNvCxnSpPr>
          <a:cxnSpLocks/>
          <a:stCxn id="187" idx="3"/>
          <a:endCxn id="183" idx="1"/>
          <a:extLst>
            <a:ext uri="{5F17804C-33F3-41E3-A699-7DCFA2EF7971}">
              <a16:cxnDERefs xmlns:a16="http://schemas.microsoft.com/office/drawing/2014/main" st="{4EB4F73C-F09E-421F-AA26-674199FEB012}" end="{922A08C8-F52E-4A33-B8D2-FD196EB09486}"/>
            </a:ext>
          </a:extLst>
        </xdr:cNvCxnSpPr>
      </xdr:nvCxnSpPr>
      <xdr:spPr>
        <a:xfrm>
          <a:off x="6229350" y="1076325"/>
          <a:ext cx="323850" cy="6572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10</xdr:row>
      <xdr:rowOff>19050</xdr:rowOff>
    </xdr:from>
    <xdr:to>
      <xdr:col>10</xdr:col>
      <xdr:colOff>457200</xdr:colOff>
      <xdr:row>13</xdr:row>
      <xdr:rowOff>161925</xdr:rowOff>
    </xdr:to>
    <xdr:cxnSp macro="">
      <xdr:nvCxnSpPr>
        <xdr:cNvPr id="40" name="Elbow Connector 39">
          <a:extLst>
            <a:ext uri="{FF2B5EF4-FFF2-40B4-BE49-F238E27FC236}">
              <a16:creationId xmlns:a16="http://schemas.microsoft.com/office/drawing/2014/main" id="{9013E801-395D-31FB-FE95-A2BF71897723}"/>
            </a:ext>
            <a:ext uri="{147F2762-F138-4A5C-976F-8EAC2B608ADB}">
              <a16:predDERef xmlns:a16="http://schemas.microsoft.com/office/drawing/2014/main" pred="{BE8BE8A6-5B90-90A0-9A73-E5003B26C4C6}"/>
            </a:ext>
          </a:extLst>
        </xdr:cNvPr>
        <xdr:cNvCxnSpPr>
          <a:cxnSpLocks/>
          <a:stCxn id="201" idx="3"/>
          <a:endCxn id="183" idx="1"/>
          <a:extLst>
            <a:ext uri="{5F17804C-33F3-41E3-A699-7DCFA2EF7971}">
              <a16:cxnDERefs xmlns:a16="http://schemas.microsoft.com/office/drawing/2014/main" st="{FBCBB558-54A3-4AE9-B423-19C85CB98F8D}" end="{922A08C8-F52E-4A33-B8D2-FD196EB09486}"/>
            </a:ext>
          </a:extLst>
        </xdr:cNvCxnSpPr>
      </xdr:nvCxnSpPr>
      <xdr:spPr>
        <a:xfrm flipV="1">
          <a:off x="6134100" y="1819275"/>
          <a:ext cx="419100" cy="6572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6</xdr:row>
      <xdr:rowOff>85725</xdr:rowOff>
    </xdr:from>
    <xdr:to>
      <xdr:col>17</xdr:col>
      <xdr:colOff>400050</xdr:colOff>
      <xdr:row>9</xdr:row>
      <xdr:rowOff>52388</xdr:rowOff>
    </xdr:to>
    <xdr:cxnSp macro="">
      <xdr:nvCxnSpPr>
        <xdr:cNvPr id="74" name="Elbow Connector 40">
          <a:extLst>
            <a:ext uri="{FF2B5EF4-FFF2-40B4-BE49-F238E27FC236}">
              <a16:creationId xmlns:a16="http://schemas.microsoft.com/office/drawing/2014/main" id="{FCE038E4-3DB5-D979-C3B3-EABD3874E298}"/>
            </a:ext>
            <a:ext uri="{147F2762-F138-4A5C-976F-8EAC2B608ADB}">
              <a16:predDERef xmlns:a16="http://schemas.microsoft.com/office/drawing/2014/main" pred="{9013E801-395D-31FB-FE95-A2BF71897723}"/>
            </a:ext>
          </a:extLst>
        </xdr:cNvPr>
        <xdr:cNvCxnSpPr>
          <a:cxnSpLocks/>
          <a:stCxn id="204" idx="3"/>
          <a:endCxn id="173" idx="1"/>
          <a:extLst>
            <a:ext uri="{5F17804C-33F3-41E3-A699-7DCFA2EF7971}">
              <a16:cxnDERefs xmlns:a16="http://schemas.microsoft.com/office/drawing/2014/main" st="{429FAC62-F74F-48D4-B954-5257815ADEAB}" end="{AD32B6AB-C8FF-4CB5-B9FD-90AA60382F95}"/>
            </a:ext>
          </a:extLst>
        </xdr:cNvCxnSpPr>
      </xdr:nvCxnSpPr>
      <xdr:spPr>
        <a:xfrm>
          <a:off x="9877425" y="1200150"/>
          <a:ext cx="885825" cy="48101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9</xdr:row>
      <xdr:rowOff>52388</xdr:rowOff>
    </xdr:from>
    <xdr:to>
      <xdr:col>17</xdr:col>
      <xdr:colOff>400050</xdr:colOff>
      <xdr:row>11</xdr:row>
      <xdr:rowOff>128588</xdr:rowOff>
    </xdr:to>
    <xdr:cxnSp macro="">
      <xdr:nvCxnSpPr>
        <xdr:cNvPr id="71" name="Elbow Connector 41">
          <a:extLst>
            <a:ext uri="{FF2B5EF4-FFF2-40B4-BE49-F238E27FC236}">
              <a16:creationId xmlns:a16="http://schemas.microsoft.com/office/drawing/2014/main" id="{65DEDDA3-96A2-B32D-4119-D998D07D654E}"/>
            </a:ext>
            <a:ext uri="{147F2762-F138-4A5C-976F-8EAC2B608ADB}">
              <a16:predDERef xmlns:a16="http://schemas.microsoft.com/office/drawing/2014/main" pred="{FCE038E4-3DB5-D979-C3B3-EABD3874E298}"/>
            </a:ext>
          </a:extLst>
        </xdr:cNvPr>
        <xdr:cNvCxnSpPr>
          <a:cxnSpLocks/>
          <a:stCxn id="177" idx="3"/>
          <a:endCxn id="173" idx="1"/>
          <a:extLst>
            <a:ext uri="{5F17804C-33F3-41E3-A699-7DCFA2EF7971}">
              <a16:cxnDERefs xmlns:a16="http://schemas.microsoft.com/office/drawing/2014/main" st="{45D66F8E-256C-4F66-9C02-B09EA625DC85}" end="{AD32B6AB-C8FF-4CB5-B9FD-90AA60382F95}"/>
            </a:ext>
          </a:extLst>
        </xdr:cNvCxnSpPr>
      </xdr:nvCxnSpPr>
      <xdr:spPr>
        <a:xfrm flipV="1">
          <a:off x="10106025" y="1595438"/>
          <a:ext cx="657225" cy="4191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66675</xdr:colOff>
      <xdr:row>17</xdr:row>
      <xdr:rowOff>90488</xdr:rowOff>
    </xdr:from>
    <xdr:to>
      <xdr:col>17</xdr:col>
      <xdr:colOff>447675</xdr:colOff>
      <xdr:row>19</xdr:row>
      <xdr:rowOff>142875</xdr:rowOff>
    </xdr:to>
    <xdr:cxnSp macro="">
      <xdr:nvCxnSpPr>
        <xdr:cNvPr id="13" name="Elbow Connector 42">
          <a:extLst>
            <a:ext uri="{FF2B5EF4-FFF2-40B4-BE49-F238E27FC236}">
              <a16:creationId xmlns:a16="http://schemas.microsoft.com/office/drawing/2014/main" id="{B7005564-7ACB-4400-F6D3-62B1DA269207}"/>
            </a:ext>
            <a:ext uri="{147F2762-F138-4A5C-976F-8EAC2B608ADB}">
              <a16:predDERef xmlns:a16="http://schemas.microsoft.com/office/drawing/2014/main" pred="{65DEDDA3-96A2-B32D-4119-D998D07D654E}"/>
            </a:ext>
          </a:extLst>
        </xdr:cNvPr>
        <xdr:cNvCxnSpPr>
          <a:cxnSpLocks/>
          <a:stCxn id="205" idx="3"/>
          <a:endCxn id="172" idx="1"/>
          <a:extLst>
            <a:ext uri="{5F17804C-33F3-41E3-A699-7DCFA2EF7971}">
              <a16:cxnDERefs xmlns:a16="http://schemas.microsoft.com/office/drawing/2014/main" st="{53BA19ED-F438-4898-9E2C-6F714CEB98E4}" end="{5EAC03DC-2B53-485A-8E1F-F6976EFF589A}"/>
            </a:ext>
          </a:extLst>
        </xdr:cNvCxnSpPr>
      </xdr:nvCxnSpPr>
      <xdr:spPr>
        <a:xfrm>
          <a:off x="10429875" y="3090863"/>
          <a:ext cx="381000" cy="39528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</xdr:row>
      <xdr:rowOff>52388</xdr:rowOff>
    </xdr:from>
    <xdr:to>
      <xdr:col>21</xdr:col>
      <xdr:colOff>76200</xdr:colOff>
      <xdr:row>15</xdr:row>
      <xdr:rowOff>100013</xdr:rowOff>
    </xdr:to>
    <xdr:cxnSp macro="">
      <xdr:nvCxnSpPr>
        <xdr:cNvPr id="72" name="Elbow Connector 44">
          <a:extLst>
            <a:ext uri="{FF2B5EF4-FFF2-40B4-BE49-F238E27FC236}">
              <a16:creationId xmlns:a16="http://schemas.microsoft.com/office/drawing/2014/main" id="{A06214A8-E335-DCC4-7D40-0C784D904A8A}"/>
            </a:ext>
            <a:ext uri="{147F2762-F138-4A5C-976F-8EAC2B608ADB}">
              <a16:predDERef xmlns:a16="http://schemas.microsoft.com/office/drawing/2014/main" pred="{B7005564-7ACB-4400-F6D3-62B1DA269207}"/>
            </a:ext>
          </a:extLst>
        </xdr:cNvPr>
        <xdr:cNvCxnSpPr>
          <a:cxnSpLocks/>
          <a:stCxn id="173" idx="3"/>
          <a:endCxn id="169" idx="1"/>
          <a:extLst>
            <a:ext uri="{5F17804C-33F3-41E3-A699-7DCFA2EF7971}">
              <a16:cxnDERefs xmlns:a16="http://schemas.microsoft.com/office/drawing/2014/main" st="{AD32B6AB-C8FF-4CB5-B9FD-90AA60382F95}" end="{DB9A7279-4185-42F3-9A51-92CED5EF84E8}"/>
            </a:ext>
          </a:extLst>
        </xdr:cNvCxnSpPr>
      </xdr:nvCxnSpPr>
      <xdr:spPr>
        <a:xfrm>
          <a:off x="12192000" y="1595438"/>
          <a:ext cx="685800" cy="10763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47625</xdr:colOff>
      <xdr:row>15</xdr:row>
      <xdr:rowOff>100013</xdr:rowOff>
    </xdr:from>
    <xdr:to>
      <xdr:col>21</xdr:col>
      <xdr:colOff>76200</xdr:colOff>
      <xdr:row>19</xdr:row>
      <xdr:rowOff>142875</xdr:rowOff>
    </xdr:to>
    <xdr:cxnSp macro="">
      <xdr:nvCxnSpPr>
        <xdr:cNvPr id="15" name="Elbow Connector 45">
          <a:extLst>
            <a:ext uri="{FF2B5EF4-FFF2-40B4-BE49-F238E27FC236}">
              <a16:creationId xmlns:a16="http://schemas.microsoft.com/office/drawing/2014/main" id="{570FB4E9-0C07-029D-35F0-7CEB8474A51F}"/>
            </a:ext>
            <a:ext uri="{147F2762-F138-4A5C-976F-8EAC2B608ADB}">
              <a16:predDERef xmlns:a16="http://schemas.microsoft.com/office/drawing/2014/main" pred="{A06214A8-E335-DCC4-7D40-0C784D904A8A}"/>
            </a:ext>
          </a:extLst>
        </xdr:cNvPr>
        <xdr:cNvCxnSpPr>
          <a:cxnSpLocks/>
          <a:stCxn id="172" idx="3"/>
          <a:endCxn id="169" idx="1"/>
          <a:extLst>
            <a:ext uri="{5F17804C-33F3-41E3-A699-7DCFA2EF7971}">
              <a16:cxnDERefs xmlns:a16="http://schemas.microsoft.com/office/drawing/2014/main" st="{5EAC03DC-2B53-485A-8E1F-F6976EFF589A}" end="{DB9A7279-4185-42F3-9A51-92CED5EF84E8}"/>
            </a:ext>
          </a:extLst>
        </xdr:cNvCxnSpPr>
      </xdr:nvCxnSpPr>
      <xdr:spPr>
        <a:xfrm flipV="1">
          <a:off x="12239625" y="2671763"/>
          <a:ext cx="638175" cy="72866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0</xdr:row>
      <xdr:rowOff>57150</xdr:rowOff>
    </xdr:from>
    <xdr:to>
      <xdr:col>19</xdr:col>
      <xdr:colOff>590550</xdr:colOff>
      <xdr:row>4</xdr:row>
      <xdr:rowOff>114300</xdr:rowOff>
    </xdr:to>
    <xdr:sp macro="" textlink="">
      <xdr:nvSpPr>
        <xdr:cNvPr id="206" name="Rounded Rectangle 3">
          <a:extLst>
            <a:ext uri="{FF2B5EF4-FFF2-40B4-BE49-F238E27FC236}">
              <a16:creationId xmlns:a16="http://schemas.microsoft.com/office/drawing/2014/main" id="{C32D0C0C-0E2A-4F78-96D5-6C61B0BC0107}"/>
            </a:ext>
            <a:ext uri="{147F2762-F138-4A5C-976F-8EAC2B608ADB}">
              <a16:predDERef xmlns:a16="http://schemas.microsoft.com/office/drawing/2014/main" pred="{570FB4E9-0C07-029D-35F0-7CEB8474A51F}"/>
            </a:ext>
          </a:extLst>
        </xdr:cNvPr>
        <xdr:cNvSpPr/>
      </xdr:nvSpPr>
      <xdr:spPr>
        <a:xfrm>
          <a:off x="10658475" y="57150"/>
          <a:ext cx="1514475" cy="7429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Subsidies for Acute Inpatient Care at Public Healthcare Institutions</a:t>
          </a:r>
        </a:p>
      </xdr:txBody>
    </xdr:sp>
    <xdr:clientData/>
  </xdr:twoCellAnchor>
  <xdr:twoCellAnchor>
    <xdr:from>
      <xdr:col>20</xdr:col>
      <xdr:colOff>266700</xdr:colOff>
      <xdr:row>0</xdr:row>
      <xdr:rowOff>123825</xdr:rowOff>
    </xdr:from>
    <xdr:to>
      <xdr:col>22</xdr:col>
      <xdr:colOff>476250</xdr:colOff>
      <xdr:row>4</xdr:row>
      <xdr:rowOff>28575</xdr:rowOff>
    </xdr:to>
    <xdr:sp macro="" textlink="">
      <xdr:nvSpPr>
        <xdr:cNvPr id="179" name="Rounded Rectangle 4">
          <a:extLst>
            <a:ext uri="{FF2B5EF4-FFF2-40B4-BE49-F238E27FC236}">
              <a16:creationId xmlns:a16="http://schemas.microsoft.com/office/drawing/2014/main" id="{B2F46686-D89E-408E-A220-E135DBF4AC5D}"/>
            </a:ext>
            <a:ext uri="{147F2762-F138-4A5C-976F-8EAC2B608ADB}">
              <a16:predDERef xmlns:a16="http://schemas.microsoft.com/office/drawing/2014/main" pred="{C32D0C0C-0E2A-4F78-96D5-6C61B0BC0107}"/>
            </a:ext>
          </a:extLst>
        </xdr:cNvPr>
        <xdr:cNvSpPr/>
      </xdr:nvSpPr>
      <xdr:spPr>
        <a:xfrm>
          <a:off x="12458700" y="123825"/>
          <a:ext cx="1428750" cy="5905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Weighted Average Government Subsidy Rate</a:t>
          </a:r>
        </a:p>
      </xdr:txBody>
    </xdr:sp>
    <xdr:clientData/>
  </xdr:twoCellAnchor>
  <xdr:twoCellAnchor>
    <xdr:from>
      <xdr:col>22</xdr:col>
      <xdr:colOff>409575</xdr:colOff>
      <xdr:row>8</xdr:row>
      <xdr:rowOff>152400</xdr:rowOff>
    </xdr:from>
    <xdr:to>
      <xdr:col>25</xdr:col>
      <xdr:colOff>9525</xdr:colOff>
      <xdr:row>12</xdr:row>
      <xdr:rowOff>57150</xdr:rowOff>
    </xdr:to>
    <xdr:sp macro="" textlink="">
      <xdr:nvSpPr>
        <xdr:cNvPr id="171" name="Rounded Rectangle 5">
          <a:extLst>
            <a:ext uri="{FF2B5EF4-FFF2-40B4-BE49-F238E27FC236}">
              <a16:creationId xmlns:a16="http://schemas.microsoft.com/office/drawing/2014/main" id="{5B9CC1D7-CF45-47EB-84C9-C3A5CE95F584}"/>
            </a:ext>
            <a:ext uri="{147F2762-F138-4A5C-976F-8EAC2B608ADB}">
              <a16:predDERef xmlns:a16="http://schemas.microsoft.com/office/drawing/2014/main" pred="{B2F46686-D89E-408E-A220-E135DBF4AC5D}"/>
            </a:ext>
          </a:extLst>
        </xdr:cNvPr>
        <xdr:cNvSpPr/>
      </xdr:nvSpPr>
      <xdr:spPr>
        <a:xfrm>
          <a:off x="13820775" y="1524000"/>
          <a:ext cx="1428750" cy="5905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Total Out-of-Pocket Expenditure</a:t>
          </a:r>
        </a:p>
      </xdr:txBody>
    </xdr:sp>
    <xdr:clientData/>
  </xdr:twoCellAnchor>
  <xdr:twoCellAnchor>
    <xdr:from>
      <xdr:col>23</xdr:col>
      <xdr:colOff>419100</xdr:colOff>
      <xdr:row>4</xdr:row>
      <xdr:rowOff>104775</xdr:rowOff>
    </xdr:from>
    <xdr:to>
      <xdr:col>25</xdr:col>
      <xdr:colOff>361950</xdr:colOff>
      <xdr:row>8</xdr:row>
      <xdr:rowOff>47625</xdr:rowOff>
    </xdr:to>
    <xdr:sp macro="" textlink="">
      <xdr:nvSpPr>
        <xdr:cNvPr id="209" name="Rounded Rectangle 7">
          <a:extLst>
            <a:ext uri="{FF2B5EF4-FFF2-40B4-BE49-F238E27FC236}">
              <a16:creationId xmlns:a16="http://schemas.microsoft.com/office/drawing/2014/main" id="{77BB2198-1B4B-4625-A31E-426255BBF78E}"/>
            </a:ext>
            <a:ext uri="{147F2762-F138-4A5C-976F-8EAC2B608ADB}">
              <a16:predDERef xmlns:a16="http://schemas.microsoft.com/office/drawing/2014/main" pred="{5B9CC1D7-CF45-47EB-84C9-C3A5CE95F584}"/>
            </a:ext>
          </a:extLst>
        </xdr:cNvPr>
        <xdr:cNvSpPr/>
      </xdr:nvSpPr>
      <xdr:spPr>
        <a:xfrm>
          <a:off x="14439900" y="876300"/>
          <a:ext cx="1162050" cy="6286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Number of Resident Households</a:t>
          </a:r>
        </a:p>
      </xdr:txBody>
    </xdr:sp>
    <xdr:clientData/>
  </xdr:twoCellAnchor>
  <xdr:twoCellAnchor>
    <xdr:from>
      <xdr:col>23</xdr:col>
      <xdr:colOff>419100</xdr:colOff>
      <xdr:row>0</xdr:row>
      <xdr:rowOff>76200</xdr:rowOff>
    </xdr:from>
    <xdr:to>
      <xdr:col>25</xdr:col>
      <xdr:colOff>361950</xdr:colOff>
      <xdr:row>4</xdr:row>
      <xdr:rowOff>19050</xdr:rowOff>
    </xdr:to>
    <xdr:sp macro="" textlink="">
      <xdr:nvSpPr>
        <xdr:cNvPr id="207" name="Rounded Rectangle 9">
          <a:extLst>
            <a:ext uri="{FF2B5EF4-FFF2-40B4-BE49-F238E27FC236}">
              <a16:creationId xmlns:a16="http://schemas.microsoft.com/office/drawing/2014/main" id="{AB055A0B-C3D1-487B-A3BE-C595B90AC90B}"/>
            </a:ext>
            <a:ext uri="{147F2762-F138-4A5C-976F-8EAC2B608ADB}">
              <a16:predDERef xmlns:a16="http://schemas.microsoft.com/office/drawing/2014/main" pred="{77BB2198-1B4B-4625-A31E-426255BBF78E}"/>
            </a:ext>
          </a:extLst>
        </xdr:cNvPr>
        <xdr:cNvSpPr/>
      </xdr:nvSpPr>
      <xdr:spPr>
        <a:xfrm>
          <a:off x="14439900" y="76200"/>
          <a:ext cx="1162050" cy="6286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Annual household income</a:t>
          </a:r>
        </a:p>
      </xdr:txBody>
    </xdr:sp>
    <xdr:clientData/>
  </xdr:twoCellAnchor>
  <xdr:twoCellAnchor>
    <xdr:from>
      <xdr:col>26</xdr:col>
      <xdr:colOff>428625</xdr:colOff>
      <xdr:row>9</xdr:row>
      <xdr:rowOff>114300</xdr:rowOff>
    </xdr:from>
    <xdr:to>
      <xdr:col>29</xdr:col>
      <xdr:colOff>28575</xdr:colOff>
      <xdr:row>14</xdr:row>
      <xdr:rowOff>66675</xdr:rowOff>
    </xdr:to>
    <xdr:sp macro="" textlink="">
      <xdr:nvSpPr>
        <xdr:cNvPr id="2" name="Rounded Rectangle 10">
          <a:extLst>
            <a:ext uri="{FF2B5EF4-FFF2-40B4-BE49-F238E27FC236}">
              <a16:creationId xmlns:a16="http://schemas.microsoft.com/office/drawing/2014/main" id="{A12551D3-22FE-4E79-A59E-BA8183A97B24}"/>
            </a:ext>
            <a:ext uri="{147F2762-F138-4A5C-976F-8EAC2B608ADB}">
              <a16:predDERef xmlns:a16="http://schemas.microsoft.com/office/drawing/2014/main" pred="{AB055A0B-C3D1-487B-A3BE-C595B90AC90B}"/>
            </a:ext>
          </a:extLst>
        </xdr:cNvPr>
        <xdr:cNvSpPr/>
      </xdr:nvSpPr>
      <xdr:spPr>
        <a:xfrm>
          <a:off x="16278225" y="1657350"/>
          <a:ext cx="1428750" cy="80962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Healthcare as % of household income (Burden status)</a:t>
          </a:r>
        </a:p>
      </xdr:txBody>
    </xdr:sp>
    <xdr:clientData/>
  </xdr:twoCellAnchor>
  <xdr:twoCellAnchor>
    <xdr:from>
      <xdr:col>20</xdr:col>
      <xdr:colOff>0</xdr:colOff>
      <xdr:row>9</xdr:row>
      <xdr:rowOff>52388</xdr:rowOff>
    </xdr:from>
    <xdr:to>
      <xdr:col>22</xdr:col>
      <xdr:colOff>409575</xdr:colOff>
      <xdr:row>10</xdr:row>
      <xdr:rowOff>104775</xdr:rowOff>
    </xdr:to>
    <xdr:cxnSp macro="">
      <xdr:nvCxnSpPr>
        <xdr:cNvPr id="124" name="Elbow Connector 11">
          <a:extLst>
            <a:ext uri="{FF2B5EF4-FFF2-40B4-BE49-F238E27FC236}">
              <a16:creationId xmlns:a16="http://schemas.microsoft.com/office/drawing/2014/main" id="{CB20D7D5-C51D-308B-46AC-D91A2A3D775B}"/>
            </a:ext>
            <a:ext uri="{147F2762-F138-4A5C-976F-8EAC2B608ADB}">
              <a16:predDERef xmlns:a16="http://schemas.microsoft.com/office/drawing/2014/main" pred="{A12551D3-22FE-4E79-A59E-BA8183A97B24}"/>
            </a:ext>
          </a:extLst>
        </xdr:cNvPr>
        <xdr:cNvCxnSpPr>
          <a:cxnSpLocks/>
          <a:stCxn id="173" idx="3"/>
          <a:endCxn id="171" idx="1"/>
          <a:extLst>
            <a:ext uri="{5F17804C-33F3-41E3-A699-7DCFA2EF7971}">
              <a16:cxnDERefs xmlns:a16="http://schemas.microsoft.com/office/drawing/2014/main" st="{AD32B6AB-C8FF-4CB5-B9FD-90AA60382F95}" end="{5B9CC1D7-CF45-47EB-84C9-C3A5CE95F584}"/>
            </a:ext>
          </a:extLst>
        </xdr:cNvCxnSpPr>
      </xdr:nvCxnSpPr>
      <xdr:spPr>
        <a:xfrm>
          <a:off x="12192000" y="1595438"/>
          <a:ext cx="1628775" cy="22383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561975</xdr:colOff>
      <xdr:row>2</xdr:row>
      <xdr:rowOff>76200</xdr:rowOff>
    </xdr:from>
    <xdr:to>
      <xdr:col>20</xdr:col>
      <xdr:colOff>266700</xdr:colOff>
      <xdr:row>2</xdr:row>
      <xdr:rowOff>85725</xdr:rowOff>
    </xdr:to>
    <xdr:cxnSp macro="">
      <xdr:nvCxnSpPr>
        <xdr:cNvPr id="132" name="Straight Connector 12">
          <a:extLst>
            <a:ext uri="{FF2B5EF4-FFF2-40B4-BE49-F238E27FC236}">
              <a16:creationId xmlns:a16="http://schemas.microsoft.com/office/drawing/2014/main" id="{4C6490B5-7278-2844-24DC-317DABCEA100}"/>
            </a:ext>
            <a:ext uri="{147F2762-F138-4A5C-976F-8EAC2B608ADB}">
              <a16:predDERef xmlns:a16="http://schemas.microsoft.com/office/drawing/2014/main" pred="{CB20D7D5-C51D-308B-46AC-D91A2A3D775B}"/>
            </a:ext>
          </a:extLst>
        </xdr:cNvPr>
        <xdr:cNvCxnSpPr>
          <a:cxnSpLocks/>
          <a:endCxn id="179" idx="1"/>
          <a:extLst>
            <a:ext uri="{5F17804C-33F3-41E3-A699-7DCFA2EF7971}">
              <a16:cxnDERefs xmlns:a16="http://schemas.microsoft.com/office/drawing/2014/main" st="{00000000-0000-0000-0000-000000000000}" end="{B2F46686-D89E-408E-A220-E135DBF4AC5D}"/>
            </a:ext>
          </a:extLst>
        </xdr:cNvCxnSpPr>
      </xdr:nvCxnSpPr>
      <xdr:spPr>
        <a:xfrm flipV="1">
          <a:off x="12144375" y="419100"/>
          <a:ext cx="314325" cy="95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371475</xdr:colOff>
      <xdr:row>4</xdr:row>
      <xdr:rowOff>28575</xdr:rowOff>
    </xdr:from>
    <xdr:to>
      <xdr:col>22</xdr:col>
      <xdr:colOff>409575</xdr:colOff>
      <xdr:row>10</xdr:row>
      <xdr:rowOff>104775</xdr:rowOff>
    </xdr:to>
    <xdr:cxnSp macro="">
      <xdr:nvCxnSpPr>
        <xdr:cNvPr id="140" name="Elbow Connector 14">
          <a:extLst>
            <a:ext uri="{FF2B5EF4-FFF2-40B4-BE49-F238E27FC236}">
              <a16:creationId xmlns:a16="http://schemas.microsoft.com/office/drawing/2014/main" id="{B18E2335-6669-BE92-7308-D8E1E1602DC8}"/>
            </a:ext>
            <a:ext uri="{147F2762-F138-4A5C-976F-8EAC2B608ADB}">
              <a16:predDERef xmlns:a16="http://schemas.microsoft.com/office/drawing/2014/main" pred="{4C6490B5-7278-2844-24DC-317DABCEA100}"/>
            </a:ext>
          </a:extLst>
        </xdr:cNvPr>
        <xdr:cNvCxnSpPr>
          <a:cxnSpLocks/>
          <a:stCxn id="179" idx="2"/>
          <a:endCxn id="171" idx="1"/>
          <a:extLst>
            <a:ext uri="{5F17804C-33F3-41E3-A699-7DCFA2EF7971}">
              <a16:cxnDERefs xmlns:a16="http://schemas.microsoft.com/office/drawing/2014/main" st="{B2F46686-D89E-408E-A220-E135DBF4AC5D}" end="{5B9CC1D7-CF45-47EB-84C9-C3A5CE95F584}"/>
            </a:ext>
          </a:extLst>
        </xdr:cNvCxnSpPr>
      </xdr:nvCxnSpPr>
      <xdr:spPr>
        <a:xfrm rot="16200000" flipH="1">
          <a:off x="12944475" y="942975"/>
          <a:ext cx="1104900" cy="6477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361950</xdr:colOff>
      <xdr:row>2</xdr:row>
      <xdr:rowOff>4763</xdr:rowOff>
    </xdr:from>
    <xdr:to>
      <xdr:col>26</xdr:col>
      <xdr:colOff>428625</xdr:colOff>
      <xdr:row>12</xdr:row>
      <xdr:rowOff>4763</xdr:rowOff>
    </xdr:to>
    <xdr:cxnSp macro="">
      <xdr:nvCxnSpPr>
        <xdr:cNvPr id="159" name="Elbow Connector 15">
          <a:extLst>
            <a:ext uri="{FF2B5EF4-FFF2-40B4-BE49-F238E27FC236}">
              <a16:creationId xmlns:a16="http://schemas.microsoft.com/office/drawing/2014/main" id="{DB0498A0-E934-DD91-0F77-486E7A9E4670}"/>
            </a:ext>
            <a:ext uri="{147F2762-F138-4A5C-976F-8EAC2B608ADB}">
              <a16:predDERef xmlns:a16="http://schemas.microsoft.com/office/drawing/2014/main" pred="{B18E2335-6669-BE92-7308-D8E1E1602DC8}"/>
            </a:ext>
          </a:extLst>
        </xdr:cNvPr>
        <xdr:cNvCxnSpPr>
          <a:cxnSpLocks/>
          <a:stCxn id="207" idx="3"/>
          <a:endCxn id="2" idx="1"/>
          <a:extLst>
            <a:ext uri="{5F17804C-33F3-41E3-A699-7DCFA2EF7971}">
              <a16:cxnDERefs xmlns:a16="http://schemas.microsoft.com/office/drawing/2014/main" st="{AB055A0B-C3D1-487B-A3BE-C595B90AC90B}" end="{A12551D3-22FE-4E79-A59E-BA8183A97B24}"/>
            </a:ext>
          </a:extLst>
        </xdr:cNvCxnSpPr>
      </xdr:nvCxnSpPr>
      <xdr:spPr>
        <a:xfrm>
          <a:off x="15601950" y="433388"/>
          <a:ext cx="676275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361950</xdr:colOff>
      <xdr:row>6</xdr:row>
      <xdr:rowOff>76200</xdr:rowOff>
    </xdr:from>
    <xdr:to>
      <xdr:col>26</xdr:col>
      <xdr:colOff>428625</xdr:colOff>
      <xdr:row>12</xdr:row>
      <xdr:rowOff>4763</xdr:rowOff>
    </xdr:to>
    <xdr:cxnSp macro="">
      <xdr:nvCxnSpPr>
        <xdr:cNvPr id="210" name="Elbow Connector 16">
          <a:extLst>
            <a:ext uri="{FF2B5EF4-FFF2-40B4-BE49-F238E27FC236}">
              <a16:creationId xmlns:a16="http://schemas.microsoft.com/office/drawing/2014/main" id="{5D65D868-A82D-13FC-C9C9-AB5670D5FF56}"/>
            </a:ext>
            <a:ext uri="{147F2762-F138-4A5C-976F-8EAC2B608ADB}">
              <a16:predDERef xmlns:a16="http://schemas.microsoft.com/office/drawing/2014/main" pred="{DB0498A0-E934-DD91-0F77-486E7A9E4670}"/>
            </a:ext>
          </a:extLst>
        </xdr:cNvPr>
        <xdr:cNvCxnSpPr>
          <a:cxnSpLocks/>
          <a:stCxn id="209" idx="3"/>
          <a:endCxn id="2" idx="1"/>
          <a:extLst>
            <a:ext uri="{5F17804C-33F3-41E3-A699-7DCFA2EF7971}">
              <a16:cxnDERefs xmlns:a16="http://schemas.microsoft.com/office/drawing/2014/main" st="{77BB2198-1B4B-4625-A31E-426255BBF78E}" end="{A12551D3-22FE-4E79-A59E-BA8183A97B24}"/>
            </a:ext>
          </a:extLst>
        </xdr:cNvCxnSpPr>
      </xdr:nvCxnSpPr>
      <xdr:spPr>
        <a:xfrm>
          <a:off x="15601950" y="1190625"/>
          <a:ext cx="676275" cy="95726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10</xdr:row>
      <xdr:rowOff>104775</xdr:rowOff>
    </xdr:from>
    <xdr:to>
      <xdr:col>26</xdr:col>
      <xdr:colOff>428625</xdr:colOff>
      <xdr:row>12</xdr:row>
      <xdr:rowOff>4763</xdr:rowOff>
    </xdr:to>
    <xdr:cxnSp macro="">
      <xdr:nvCxnSpPr>
        <xdr:cNvPr id="168" name="Elbow Connector 17">
          <a:extLst>
            <a:ext uri="{FF2B5EF4-FFF2-40B4-BE49-F238E27FC236}">
              <a16:creationId xmlns:a16="http://schemas.microsoft.com/office/drawing/2014/main" id="{CA3A203F-ED88-A8A6-C693-1F305CCF178F}"/>
            </a:ext>
            <a:ext uri="{147F2762-F138-4A5C-976F-8EAC2B608ADB}">
              <a16:predDERef xmlns:a16="http://schemas.microsoft.com/office/drawing/2014/main" pred="{5D65D868-A82D-13FC-C9C9-AB5670D5FF56}"/>
            </a:ext>
          </a:extLst>
        </xdr:cNvPr>
        <xdr:cNvCxnSpPr>
          <a:cxnSpLocks/>
          <a:stCxn id="171" idx="3"/>
          <a:endCxn id="2" idx="1"/>
          <a:extLst>
            <a:ext uri="{5F17804C-33F3-41E3-A699-7DCFA2EF7971}">
              <a16:cxnDERefs xmlns:a16="http://schemas.microsoft.com/office/drawing/2014/main" st="{5B9CC1D7-CF45-47EB-84C9-C3A5CE95F584}" end="{A12551D3-22FE-4E79-A59E-BA8183A97B24}"/>
            </a:ext>
          </a:extLst>
        </xdr:cNvCxnSpPr>
      </xdr:nvCxnSpPr>
      <xdr:spPr>
        <a:xfrm>
          <a:off x="15249525" y="1905000"/>
          <a:ext cx="1028700" cy="24288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21</xdr:row>
      <xdr:rowOff>66675</xdr:rowOff>
    </xdr:from>
    <xdr:to>
      <xdr:col>1</xdr:col>
      <xdr:colOff>600075</xdr:colOff>
      <xdr:row>23</xdr:row>
      <xdr:rowOff>57150</xdr:rowOff>
    </xdr:to>
    <xdr:sp macro="" textlink="">
      <xdr:nvSpPr>
        <xdr:cNvPr id="8" name="Rounded Rectangle 1">
          <a:extLst>
            <a:ext uri="{FF2B5EF4-FFF2-40B4-BE49-F238E27FC236}">
              <a16:creationId xmlns:a16="http://schemas.microsoft.com/office/drawing/2014/main" id="{8BB0DF4B-DA2A-4AA9-829E-A8F111278363}"/>
            </a:ext>
            <a:ext uri="{147F2762-F138-4A5C-976F-8EAC2B608ADB}">
              <a16:predDERef xmlns:a16="http://schemas.microsoft.com/office/drawing/2014/main" pred="{CA3A203F-ED88-A8A6-C693-1F305CCF178F}"/>
            </a:ext>
          </a:extLst>
        </xdr:cNvPr>
        <xdr:cNvSpPr/>
      </xdr:nvSpPr>
      <xdr:spPr>
        <a:xfrm>
          <a:off x="57150" y="3771900"/>
          <a:ext cx="1152525" cy="3333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Input</a:t>
          </a:r>
        </a:p>
        <a:p>
          <a:pPr marL="0" indent="0" algn="l"/>
          <a:endParaRPr lang="en-US" sz="1100" b="0" u="none" strike="noStrike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57150</xdr:colOff>
      <xdr:row>23</xdr:row>
      <xdr:rowOff>123825</xdr:rowOff>
    </xdr:from>
    <xdr:to>
      <xdr:col>2</xdr:col>
      <xdr:colOff>9525</xdr:colOff>
      <xdr:row>25</xdr:row>
      <xdr:rowOff>76200</xdr:rowOff>
    </xdr:to>
    <xdr:sp macro="" textlink="">
      <xdr:nvSpPr>
        <xdr:cNvPr id="18" name="Rounded Rectangle 2">
          <a:extLst>
            <a:ext uri="{FF2B5EF4-FFF2-40B4-BE49-F238E27FC236}">
              <a16:creationId xmlns:a16="http://schemas.microsoft.com/office/drawing/2014/main" id="{340341D4-9D1C-4723-8CB8-0CD40DD97130}"/>
            </a:ext>
            <a:ext uri="{147F2762-F138-4A5C-976F-8EAC2B608ADB}">
              <a16:predDERef xmlns:a16="http://schemas.microsoft.com/office/drawing/2014/main" pred="{8BB0DF4B-DA2A-4AA9-829E-A8F111278363}"/>
            </a:ext>
          </a:extLst>
        </xdr:cNvPr>
        <xdr:cNvSpPr/>
      </xdr:nvSpPr>
      <xdr:spPr>
        <a:xfrm>
          <a:off x="57150" y="4171950"/>
          <a:ext cx="1171575" cy="29527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Output</a:t>
          </a:r>
        </a:p>
      </xdr:txBody>
    </xdr:sp>
    <xdr:clientData/>
  </xdr:twoCellAnchor>
  <xdr:twoCellAnchor>
    <xdr:from>
      <xdr:col>9</xdr:col>
      <xdr:colOff>487680</xdr:colOff>
      <xdr:row>0</xdr:row>
      <xdr:rowOff>167640</xdr:rowOff>
    </xdr:from>
    <xdr:to>
      <xdr:col>11</xdr:col>
      <xdr:colOff>571500</xdr:colOff>
      <xdr:row>3</xdr:row>
      <xdr:rowOff>22860</xdr:rowOff>
    </xdr:to>
    <xdr:sp macro="" textlink="">
      <xdr:nvSpPr>
        <xdr:cNvPr id="60" name="Rounded Rectangle 8">
          <a:extLst>
            <a:ext uri="{FF2B5EF4-FFF2-40B4-BE49-F238E27FC236}">
              <a16:creationId xmlns:a16="http://schemas.microsoft.com/office/drawing/2014/main" id="{E137229B-3C0D-4560-B15A-A0AFBBE16197}"/>
            </a:ext>
            <a:ext uri="{147F2762-F138-4A5C-976F-8EAC2B608ADB}">
              <a16:predDERef xmlns:a16="http://schemas.microsoft.com/office/drawing/2014/main" pred="{F903CF0E-378D-474E-8FCF-4723930406BF}"/>
            </a:ext>
          </a:extLst>
        </xdr:cNvPr>
        <xdr:cNvSpPr/>
      </xdr:nvSpPr>
      <xdr:spPr>
        <a:xfrm>
          <a:off x="6111240" y="167640"/>
          <a:ext cx="1333500" cy="47244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Elderly dependency ratio</a:t>
          </a:r>
        </a:p>
      </xdr:txBody>
    </xdr:sp>
    <xdr:clientData/>
  </xdr:twoCellAnchor>
  <xdr:twoCellAnchor>
    <xdr:from>
      <xdr:col>9</xdr:col>
      <xdr:colOff>13336</xdr:colOff>
      <xdr:row>1</xdr:row>
      <xdr:rowOff>137161</xdr:rowOff>
    </xdr:from>
    <xdr:to>
      <xdr:col>9</xdr:col>
      <xdr:colOff>480061</xdr:colOff>
      <xdr:row>4</xdr:row>
      <xdr:rowOff>19051</xdr:rowOff>
    </xdr:to>
    <xdr:cxnSp macro="">
      <xdr:nvCxnSpPr>
        <xdr:cNvPr id="63" name="Connector: Elbow 4">
          <a:extLst>
            <a:ext uri="{FF2B5EF4-FFF2-40B4-BE49-F238E27FC236}">
              <a16:creationId xmlns:a16="http://schemas.microsoft.com/office/drawing/2014/main" id="{F5DF09C9-DCD8-A9E4-9191-1B1C41F3D662}"/>
            </a:ext>
          </a:extLst>
        </xdr:cNvPr>
        <xdr:cNvCxnSpPr/>
      </xdr:nvCxnSpPr>
      <xdr:spPr>
        <a:xfrm rot="5400000" flipH="1" flipV="1">
          <a:off x="5666424" y="374333"/>
          <a:ext cx="407670" cy="4667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</xdr:row>
      <xdr:rowOff>66675</xdr:rowOff>
    </xdr:from>
    <xdr:to>
      <xdr:col>8</xdr:col>
      <xdr:colOff>209550</xdr:colOff>
      <xdr:row>18</xdr:row>
      <xdr:rowOff>104775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EE981991-B644-E59C-9977-42ED6B582543}"/>
            </a:ext>
          </a:extLst>
        </xdr:cNvPr>
        <xdr:cNvSpPr/>
      </xdr:nvSpPr>
      <xdr:spPr>
        <a:xfrm>
          <a:off x="3257550" y="828675"/>
          <a:ext cx="1828800" cy="270510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438150</xdr:colOff>
      <xdr:row>4</xdr:row>
      <xdr:rowOff>114300</xdr:rowOff>
    </xdr:from>
    <xdr:to>
      <xdr:col>5</xdr:col>
      <xdr:colOff>133350</xdr:colOff>
      <xdr:row>4</xdr:row>
      <xdr:rowOff>123825</xdr:rowOff>
    </xdr:to>
    <xdr:cxnSp macro="">
      <xdr:nvCxnSpPr>
        <xdr:cNvPr id="28" name="Straight Connector 6">
          <a:extLst>
            <a:ext uri="{FF2B5EF4-FFF2-40B4-BE49-F238E27FC236}">
              <a16:creationId xmlns:a16="http://schemas.microsoft.com/office/drawing/2014/main" id="{588C157A-B068-2022-6CC5-3CC5088E8C3C}"/>
            </a:ext>
            <a:ext uri="{147F2762-F138-4A5C-976F-8EAC2B608ADB}">
              <a16:predDERef xmlns:a16="http://schemas.microsoft.com/office/drawing/2014/main" pred="{EE981991-B644-E59C-9977-42ED6B582543}"/>
            </a:ext>
          </a:extLst>
        </xdr:cNvPr>
        <xdr:cNvCxnSpPr>
          <a:cxnSpLocks/>
        </xdr:cNvCxnSpPr>
      </xdr:nvCxnSpPr>
      <xdr:spPr>
        <a:xfrm>
          <a:off x="2266950" y="876300"/>
          <a:ext cx="914400" cy="95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</xdr:row>
      <xdr:rowOff>114300</xdr:rowOff>
    </xdr:from>
    <xdr:to>
      <xdr:col>9</xdr:col>
      <xdr:colOff>590550</xdr:colOff>
      <xdr:row>4</xdr:row>
      <xdr:rowOff>133350</xdr:rowOff>
    </xdr:to>
    <xdr:cxnSp macro="">
      <xdr:nvCxnSpPr>
        <xdr:cNvPr id="27" name="Straight Connector 7">
          <a:extLst>
            <a:ext uri="{FF2B5EF4-FFF2-40B4-BE49-F238E27FC236}">
              <a16:creationId xmlns:a16="http://schemas.microsoft.com/office/drawing/2014/main" id="{B49AC1AB-2E3B-43F8-86DD-C08DB3CFC824}"/>
            </a:ext>
            <a:ext uri="{147F2762-F138-4A5C-976F-8EAC2B608ADB}">
              <a16:predDERef xmlns:a16="http://schemas.microsoft.com/office/drawing/2014/main" pred="{588C157A-B068-2022-6CC5-3CC5088E8C3C}"/>
            </a:ext>
          </a:extLst>
        </xdr:cNvPr>
        <xdr:cNvCxnSpPr>
          <a:cxnSpLocks/>
        </xdr:cNvCxnSpPr>
      </xdr:nvCxnSpPr>
      <xdr:spPr>
        <a:xfrm flipV="1">
          <a:off x="5162550" y="876300"/>
          <a:ext cx="914400" cy="190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10</xdr:row>
      <xdr:rowOff>104775</xdr:rowOff>
    </xdr:from>
    <xdr:to>
      <xdr:col>5</xdr:col>
      <xdr:colOff>133350</xdr:colOff>
      <xdr:row>10</xdr:row>
      <xdr:rowOff>104775</xdr:rowOff>
    </xdr:to>
    <xdr:cxnSp macro="">
      <xdr:nvCxnSpPr>
        <xdr:cNvPr id="24" name="Straight Connector 8">
          <a:extLst>
            <a:ext uri="{FF2B5EF4-FFF2-40B4-BE49-F238E27FC236}">
              <a16:creationId xmlns:a16="http://schemas.microsoft.com/office/drawing/2014/main" id="{55484D86-7F66-4DFD-8963-7E5E139239E0}"/>
            </a:ext>
            <a:ext uri="{147F2762-F138-4A5C-976F-8EAC2B608ADB}">
              <a16:predDERef xmlns:a16="http://schemas.microsoft.com/office/drawing/2014/main" pred="{B49AC1AB-2E3B-43F8-86DD-C08DB3CFC824}"/>
            </a:ext>
          </a:extLst>
        </xdr:cNvPr>
        <xdr:cNvCxnSpPr>
          <a:cxnSpLocks/>
        </xdr:cNvCxnSpPr>
      </xdr:nvCxnSpPr>
      <xdr:spPr>
        <a:xfrm>
          <a:off x="2266950" y="2009775"/>
          <a:ext cx="91440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10</xdr:row>
      <xdr:rowOff>104775</xdr:rowOff>
    </xdr:from>
    <xdr:to>
      <xdr:col>9</xdr:col>
      <xdr:colOff>552450</xdr:colOff>
      <xdr:row>10</xdr:row>
      <xdr:rowOff>104775</xdr:rowOff>
    </xdr:to>
    <xdr:cxnSp macro="">
      <xdr:nvCxnSpPr>
        <xdr:cNvPr id="22" name="Straight Connector 9">
          <a:extLst>
            <a:ext uri="{FF2B5EF4-FFF2-40B4-BE49-F238E27FC236}">
              <a16:creationId xmlns:a16="http://schemas.microsoft.com/office/drawing/2014/main" id="{F2B7AA94-A69A-4C2C-8369-65205929340B}"/>
            </a:ext>
            <a:ext uri="{147F2762-F138-4A5C-976F-8EAC2B608ADB}">
              <a16:predDERef xmlns:a16="http://schemas.microsoft.com/office/drawing/2014/main" pred="{55484D86-7F66-4DFD-8963-7E5E139239E0}"/>
            </a:ext>
          </a:extLst>
        </xdr:cNvPr>
        <xdr:cNvCxnSpPr>
          <a:cxnSpLocks/>
        </xdr:cNvCxnSpPr>
      </xdr:nvCxnSpPr>
      <xdr:spPr>
        <a:xfrm>
          <a:off x="5124450" y="2009775"/>
          <a:ext cx="91440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23</xdr:row>
      <xdr:rowOff>9525</xdr:rowOff>
    </xdr:from>
    <xdr:to>
      <xdr:col>16</xdr:col>
      <xdr:colOff>533400</xdr:colOff>
      <xdr:row>47</xdr:row>
      <xdr:rowOff>133350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D044CC51-7A99-2533-49F9-733F21D82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133350</xdr:colOff>
      <xdr:row>47</xdr:row>
      <xdr:rowOff>142875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AAB51910-528E-F544-5729-FE98C7666CBA}"/>
            </a:ext>
            <a:ext uri="{147F2762-F138-4A5C-976F-8EAC2B608ADB}">
              <a16:predDERef xmlns:a16="http://schemas.microsoft.com/office/drawing/2014/main" pred="{D044CC51-7A99-2533-49F9-733F21D82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219075</xdr:colOff>
      <xdr:row>22</xdr:row>
      <xdr:rowOff>152400</xdr:rowOff>
    </xdr:from>
    <xdr:to>
      <xdr:col>29</xdr:col>
      <xdr:colOff>28575</xdr:colOff>
      <xdr:row>47</xdr:row>
      <xdr:rowOff>142875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C72D8BF6-382F-7C39-9A43-F918441B50F1}"/>
            </a:ext>
            <a:ext uri="{147F2762-F138-4A5C-976F-8EAC2B608ADB}">
              <a16:predDERef xmlns:a16="http://schemas.microsoft.com/office/drawing/2014/main" pred="{AAB51910-528E-F544-5729-FE98C7666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466725</xdr:colOff>
      <xdr:row>0</xdr:row>
      <xdr:rowOff>57150</xdr:rowOff>
    </xdr:from>
    <xdr:to>
      <xdr:col>24</xdr:col>
      <xdr:colOff>266700</xdr:colOff>
      <xdr:row>25</xdr:row>
      <xdr:rowOff>19050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D0351AA2-273C-8131-1D46-E3E86649DD2A}"/>
            </a:ext>
            <a:ext uri="{147F2762-F138-4A5C-976F-8EAC2B608ADB}">
              <a16:predDERef xmlns:a16="http://schemas.microsoft.com/office/drawing/2014/main" pred="{266484B8-B0C1-86FE-1251-39466B603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676275</xdr:colOff>
      <xdr:row>30</xdr:row>
      <xdr:rowOff>152400</xdr:rowOff>
    </xdr:from>
    <xdr:to>
      <xdr:col>23</xdr:col>
      <xdr:colOff>657225</xdr:colOff>
      <xdr:row>52</xdr:row>
      <xdr:rowOff>123825</xdr:rowOff>
    </xdr:to>
    <xdr:graphicFrame macro="">
      <xdr:nvGraphicFramePr>
        <xdr:cNvPr id="3" name="Chart 11">
          <a:extLst>
            <a:ext uri="{FF2B5EF4-FFF2-40B4-BE49-F238E27FC236}">
              <a16:creationId xmlns:a16="http://schemas.microsoft.com/office/drawing/2014/main" id="{866C2FF2-FDB9-668E-8A30-06FB6479A7EF}"/>
            </a:ext>
            <a:ext uri="{147F2762-F138-4A5C-976F-8EAC2B608ADB}">
              <a16:predDERef xmlns:a16="http://schemas.microsoft.com/office/drawing/2014/main" pred="{D0351AA2-273C-8131-1D46-E3E86649D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152400</xdr:rowOff>
    </xdr:from>
    <xdr:to>
      <xdr:col>10</xdr:col>
      <xdr:colOff>47625</xdr:colOff>
      <xdr:row>53</xdr:row>
      <xdr:rowOff>9525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AC3807F4-B586-459E-9864-F3283BA853E7}"/>
            </a:ext>
            <a:ext uri="{147F2762-F138-4A5C-976F-8EAC2B608ADB}">
              <a16:predDERef xmlns:a16="http://schemas.microsoft.com/office/drawing/2014/main" pred="{866C2FF2-FDB9-668E-8A30-06FB6479A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107950</xdr:colOff>
      <xdr:row>8</xdr:row>
      <xdr:rowOff>38100</xdr:rowOff>
    </xdr:from>
    <xdr:to>
      <xdr:col>31</xdr:col>
      <xdr:colOff>800100</xdr:colOff>
      <xdr:row>29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FE6B83F-357E-404D-ACB9-864A4B819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565150</xdr:colOff>
      <xdr:row>32</xdr:row>
      <xdr:rowOff>38100</xdr:rowOff>
    </xdr:from>
    <xdr:to>
      <xdr:col>8</xdr:col>
      <xdr:colOff>0</xdr:colOff>
      <xdr:row>50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181060F-61FD-BD4D-3447-A455E2CD5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1053843</xdr:colOff>
      <xdr:row>1</xdr:row>
      <xdr:rowOff>4555</xdr:rowOff>
    </xdr:from>
    <xdr:to>
      <xdr:col>11</xdr:col>
      <xdr:colOff>1342158</xdr:colOff>
      <xdr:row>21</xdr:row>
      <xdr:rowOff>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FE708C-BF17-E445-B4BB-153DD4780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123825</xdr:colOff>
      <xdr:row>21</xdr:row>
      <xdr:rowOff>95250</xdr:rowOff>
    </xdr:from>
    <xdr:to>
      <xdr:col>6</xdr:col>
      <xdr:colOff>1219200</xdr:colOff>
      <xdr:row>24</xdr:row>
      <xdr:rowOff>47625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4E5E378-A5C6-EA5B-8F28-F9C4AF7719B2}"/>
            </a:ext>
            <a:ext uri="{147F2762-F138-4A5C-976F-8EAC2B608ADB}">
              <a16:predDERef xmlns:a16="http://schemas.microsoft.com/office/drawing/2014/main" pred="{00FE708C-BF17-E445-B4BB-153DD4780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0" y="3733800"/>
          <a:ext cx="1095375" cy="438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7</xdr:row>
      <xdr:rowOff>9525</xdr:rowOff>
    </xdr:from>
    <xdr:to>
      <xdr:col>7</xdr:col>
      <xdr:colOff>495300</xdr:colOff>
      <xdr:row>25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5C8174D-8640-1634-DC2D-83FAEA51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152400</xdr:rowOff>
    </xdr:from>
    <xdr:to>
      <xdr:col>7</xdr:col>
      <xdr:colOff>266700</xdr:colOff>
      <xdr:row>23</xdr:row>
      <xdr:rowOff>142875</xdr:rowOff>
    </xdr:to>
    <xdr:graphicFrame macro="">
      <xdr:nvGraphicFramePr>
        <xdr:cNvPr id="2" name="Chart 4" descr="Chart type: Line. 'Operating Expenditure On Health', 'Operating Expenditure (Hospital)*' by 'Year'&#10;&#10;Description automatically generated">
          <a:extLst>
            <a:ext uri="{FF2B5EF4-FFF2-40B4-BE49-F238E27FC236}">
              <a16:creationId xmlns:a16="http://schemas.microsoft.com/office/drawing/2014/main" id="{9703E75E-79B4-9331-F8FE-9A0C83732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16</xdr:row>
      <xdr:rowOff>123825</xdr:rowOff>
    </xdr:from>
    <xdr:to>
      <xdr:col>11</xdr:col>
      <xdr:colOff>438150</xdr:colOff>
      <xdr:row>33</xdr:row>
      <xdr:rowOff>114300</xdr:rowOff>
    </xdr:to>
    <xdr:graphicFrame macro="">
      <xdr:nvGraphicFramePr>
        <xdr:cNvPr id="10" name="Chart 16" descr="Chart type: Line. Multiple values by 'Inflation Rate'&#10;&#10;Description automatically generated">
          <a:extLst>
            <a:ext uri="{FF2B5EF4-FFF2-40B4-BE49-F238E27FC236}">
              <a16:creationId xmlns:a16="http://schemas.microsoft.com/office/drawing/2014/main" id="{7867292F-B898-CCB5-5912-99E93FCAEC9F}"/>
            </a:ext>
            <a:ext uri="{147F2762-F138-4A5C-976F-8EAC2B608ADB}">
              <a16:predDERef xmlns:a16="http://schemas.microsoft.com/office/drawing/2014/main" pred="{8A17B43D-8272-A7DE-43B8-8C4C0E53D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990600</xdr:colOff>
      <xdr:row>42</xdr:row>
      <xdr:rowOff>76200</xdr:rowOff>
    </xdr:from>
    <xdr:to>
      <xdr:col>8</xdr:col>
      <xdr:colOff>1276350</xdr:colOff>
      <xdr:row>54</xdr:row>
      <xdr:rowOff>142875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9A80D3-C055-4A4F-ADFB-8CC0317BE83F}"/>
                </a:ext>
              </a:extLst>
            </xdr14:cNvPr>
            <xdr14:cNvContentPartPr/>
          </xdr14:nvContentPartPr>
          <xdr14:nvPr macro=""/>
          <xdr14:xfrm>
            <a:off x="11439525" y="9363075"/>
            <a:ext cx="285750" cy="2009775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539A80D3-C055-4A4F-ADFB-8CC0317BE8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21868" y="9345076"/>
              <a:ext cx="321424" cy="2045413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114300</xdr:colOff>
      <xdr:row>66</xdr:row>
      <xdr:rowOff>85725</xdr:rowOff>
    </xdr:from>
    <xdr:to>
      <xdr:col>9</xdr:col>
      <xdr:colOff>266700</xdr:colOff>
      <xdr:row>94</xdr:row>
      <xdr:rowOff>28575</xdr:rowOff>
    </xdr:to>
    <xdr:graphicFrame macro="">
      <xdr:nvGraphicFramePr>
        <xdr:cNvPr id="17" name="Chart 10">
          <a:extLst>
            <a:ext uri="{FF2B5EF4-FFF2-40B4-BE49-F238E27FC236}">
              <a16:creationId xmlns:a16="http://schemas.microsoft.com/office/drawing/2014/main" id="{DC0F2AA7-D921-3529-DCB9-657AC68D8357}"/>
            </a:ext>
            <a:ext uri="{147F2762-F138-4A5C-976F-8EAC2B608ADB}">
              <a16:predDERef xmlns:a16="http://schemas.microsoft.com/office/drawing/2014/main" pred="{539A80D3-C055-4A4F-ADFB-8CC0317BE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285750</xdr:colOff>
      <xdr:row>52</xdr:row>
      <xdr:rowOff>0</xdr:rowOff>
    </xdr:from>
    <xdr:to>
      <xdr:col>5</xdr:col>
      <xdr:colOff>285750</xdr:colOff>
      <xdr:row>63</xdr:row>
      <xdr:rowOff>66675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BCA195F8-C264-7447-92ED-D2C925DA3E93}"/>
            </a:ext>
            <a:ext uri="{147F2762-F138-4A5C-976F-8EAC2B608ADB}">
              <a16:predDERef xmlns:a16="http://schemas.microsoft.com/office/drawing/2014/main" pred="{DC0F2AA7-D921-3529-DCB9-657AC68D8357}"/>
            </a:ext>
          </a:extLst>
        </xdr:cNvPr>
        <xdr:cNvSpPr/>
      </xdr:nvSpPr>
      <xdr:spPr>
        <a:xfrm>
          <a:off x="5943600" y="9572625"/>
          <a:ext cx="1333500" cy="1847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9</xdr:row>
      <xdr:rowOff>266700</xdr:rowOff>
    </xdr:from>
    <xdr:to>
      <xdr:col>12</xdr:col>
      <xdr:colOff>428625</xdr:colOff>
      <xdr:row>11</xdr:row>
      <xdr:rowOff>66675</xdr:rowOff>
    </xdr:to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5E8F2584-FE28-465C-9391-8C19FF3B12E9}"/>
            </a:ext>
            <a:ext uri="{147F2762-F138-4A5C-976F-8EAC2B608ADB}">
              <a16:predDERef xmlns:a16="http://schemas.microsoft.com/office/drawing/2014/main" pred="{BCA195F8-C264-7447-92ED-D2C925DA3E93}"/>
            </a:ext>
          </a:extLst>
        </xdr:cNvPr>
        <xdr:cNvSpPr/>
      </xdr:nvSpPr>
      <xdr:spPr>
        <a:xfrm>
          <a:off x="0" y="1724025"/>
          <a:ext cx="17106900" cy="4095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895350</xdr:colOff>
      <xdr:row>9</xdr:row>
      <xdr:rowOff>266700</xdr:rowOff>
    </xdr:from>
    <xdr:to>
      <xdr:col>12</xdr:col>
      <xdr:colOff>161925</xdr:colOff>
      <xdr:row>11</xdr:row>
      <xdr:rowOff>76200</xdr:rowOff>
    </xdr:to>
    <xdr:sp macro="" textlink="">
      <xdr:nvSpPr>
        <xdr:cNvPr id="23" name="Oval 3">
          <a:extLst>
            <a:ext uri="{FF2B5EF4-FFF2-40B4-BE49-F238E27FC236}">
              <a16:creationId xmlns:a16="http://schemas.microsoft.com/office/drawing/2014/main" id="{2D429FB9-F4D1-23FF-AC6F-91A9865B1B79}"/>
            </a:ext>
            <a:ext uri="{147F2762-F138-4A5C-976F-8EAC2B608ADB}">
              <a16:predDERef xmlns:a16="http://schemas.microsoft.com/office/drawing/2014/main" pred="{5E8F2584-FE28-465C-9391-8C19FF3B12E9}"/>
            </a:ext>
          </a:extLst>
        </xdr:cNvPr>
        <xdr:cNvSpPr/>
      </xdr:nvSpPr>
      <xdr:spPr>
        <a:xfrm>
          <a:off x="15887700" y="1724025"/>
          <a:ext cx="952500" cy="4191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371475</xdr:colOff>
      <xdr:row>9</xdr:row>
      <xdr:rowOff>266700</xdr:rowOff>
    </xdr:from>
    <xdr:to>
      <xdr:col>2</xdr:col>
      <xdr:colOff>66675</xdr:colOff>
      <xdr:row>11</xdr:row>
      <xdr:rowOff>76200</xdr:rowOff>
    </xdr:to>
    <xdr:sp macro="" textlink="">
      <xdr:nvSpPr>
        <xdr:cNvPr id="26" name="Oval 4">
          <a:extLst>
            <a:ext uri="{FF2B5EF4-FFF2-40B4-BE49-F238E27FC236}">
              <a16:creationId xmlns:a16="http://schemas.microsoft.com/office/drawing/2014/main" id="{3C069CE8-10FE-4A7D-9197-66273138EC47}"/>
            </a:ext>
            <a:ext uri="{147F2762-F138-4A5C-976F-8EAC2B608ADB}">
              <a16:predDERef xmlns:a16="http://schemas.microsoft.com/office/drawing/2014/main" pred="{2D429FB9-F4D1-23FF-AC6F-91A9865B1B79}"/>
            </a:ext>
          </a:extLst>
        </xdr:cNvPr>
        <xdr:cNvSpPr/>
      </xdr:nvSpPr>
      <xdr:spPr>
        <a:xfrm>
          <a:off x="2247900" y="1724025"/>
          <a:ext cx="952500" cy="4191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5</xdr:row>
      <xdr:rowOff>66675</xdr:rowOff>
    </xdr:from>
    <xdr:to>
      <xdr:col>15</xdr:col>
      <xdr:colOff>371475</xdr:colOff>
      <xdr:row>17</xdr:row>
      <xdr:rowOff>314325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AA8EA36A-876F-7B4E-52A7-23DCD84F0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32</xdr:row>
      <xdr:rowOff>76200</xdr:rowOff>
    </xdr:from>
    <xdr:to>
      <xdr:col>17</xdr:col>
      <xdr:colOff>219075</xdr:colOff>
      <xdr:row>32</xdr:row>
      <xdr:rowOff>85725</xdr:rowOff>
    </xdr:to>
    <xdr:cxnSp macro="">
      <xdr:nvCxnSpPr>
        <xdr:cNvPr id="43" name="Straight Connector 30">
          <a:extLst>
            <a:ext uri="{FF2B5EF4-FFF2-40B4-BE49-F238E27FC236}">
              <a16:creationId xmlns:a16="http://schemas.microsoft.com/office/drawing/2014/main" id="{C71A44F1-143B-FADF-563C-5E6169B20844}"/>
            </a:ext>
            <a:ext uri="{147F2762-F138-4A5C-976F-8EAC2B608ADB}">
              <a16:predDERef xmlns:a16="http://schemas.microsoft.com/office/drawing/2014/main" pred="{AA8EA36A-876F-7B4E-52A7-23DCD84F0464}"/>
            </a:ext>
          </a:extLst>
        </xdr:cNvPr>
        <xdr:cNvCxnSpPr>
          <a:cxnSpLocks/>
        </xdr:cNvCxnSpPr>
      </xdr:nvCxnSpPr>
      <xdr:spPr>
        <a:xfrm flipH="1" flipV="1">
          <a:off x="18316575" y="7286625"/>
          <a:ext cx="219075" cy="9525"/>
        </a:xfrm>
        <a:prstGeom prst="line">
          <a:avLst/>
        </a:prstGeom>
        <a:ln>
          <a:solidFill>
            <a:srgbClr val="0070C0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5</xdr:row>
      <xdr:rowOff>152400</xdr:rowOff>
    </xdr:from>
    <xdr:to>
      <xdr:col>14</xdr:col>
      <xdr:colOff>542925</xdr:colOff>
      <xdr:row>15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5D6565C-C042-70CD-F3DD-E1111577B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571500</xdr:rowOff>
    </xdr:from>
    <xdr:to>
      <xdr:col>0</xdr:col>
      <xdr:colOff>1524000</xdr:colOff>
      <xdr:row>13</xdr:row>
      <xdr:rowOff>104775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3E63EB00-111F-A555-BC74-3EE66D0672DC}"/>
            </a:ext>
            <a:ext uri="{147F2762-F138-4A5C-976F-8EAC2B608ADB}">
              <a16:predDERef xmlns:a16="http://schemas.microsoft.com/office/drawing/2014/main" pred="{35D6565C-C042-70CD-F3DD-E1111577BD1E}"/>
            </a:ext>
          </a:extLst>
        </xdr:cNvPr>
        <xdr:cNvSpPr/>
      </xdr:nvSpPr>
      <xdr:spPr>
        <a:xfrm>
          <a:off x="0" y="2819400"/>
          <a:ext cx="1524000" cy="1657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990600</xdr:colOff>
      <xdr:row>6</xdr:row>
      <xdr:rowOff>533400</xdr:rowOff>
    </xdr:from>
    <xdr:to>
      <xdr:col>4</xdr:col>
      <xdr:colOff>19050</xdr:colOff>
      <xdr:row>13</xdr:row>
      <xdr:rowOff>66675</xdr:rowOff>
    </xdr:to>
    <xdr:sp macro="" textlink="">
      <xdr:nvSpPr>
        <xdr:cNvPr id="18" name="Rectangle 3">
          <a:extLst>
            <a:ext uri="{FF2B5EF4-FFF2-40B4-BE49-F238E27FC236}">
              <a16:creationId xmlns:a16="http://schemas.microsoft.com/office/drawing/2014/main" id="{0813367B-F1F3-44C4-8CB4-B28855DC67E1}"/>
            </a:ext>
            <a:ext uri="{147F2762-F138-4A5C-976F-8EAC2B608ADB}">
              <a16:predDERef xmlns:a16="http://schemas.microsoft.com/office/drawing/2014/main" pred="{3E63EB00-111F-A555-BC74-3EE66D0672DC}"/>
            </a:ext>
          </a:extLst>
        </xdr:cNvPr>
        <xdr:cNvSpPr/>
      </xdr:nvSpPr>
      <xdr:spPr>
        <a:xfrm>
          <a:off x="3848100" y="2781300"/>
          <a:ext cx="933450" cy="1657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1114425</xdr:colOff>
      <xdr:row>6</xdr:row>
      <xdr:rowOff>514350</xdr:rowOff>
    </xdr:from>
    <xdr:to>
      <xdr:col>6</xdr:col>
      <xdr:colOff>47625</xdr:colOff>
      <xdr:row>13</xdr:row>
      <xdr:rowOff>104775</xdr:rowOff>
    </xdr:to>
    <xdr:sp macro="" textlink="">
      <xdr:nvSpPr>
        <xdr:cNvPr id="23" name="Rectangle 4">
          <a:extLst>
            <a:ext uri="{FF2B5EF4-FFF2-40B4-BE49-F238E27FC236}">
              <a16:creationId xmlns:a16="http://schemas.microsoft.com/office/drawing/2014/main" id="{63875B37-6271-4390-9C7F-1EF0E44EA0D9}"/>
            </a:ext>
            <a:ext uri="{147F2762-F138-4A5C-976F-8EAC2B608ADB}">
              <a16:predDERef xmlns:a16="http://schemas.microsoft.com/office/drawing/2014/main" pred="{0813367B-F1F3-44C4-8CB4-B28855DC67E1}"/>
            </a:ext>
          </a:extLst>
        </xdr:cNvPr>
        <xdr:cNvSpPr/>
      </xdr:nvSpPr>
      <xdr:spPr>
        <a:xfrm>
          <a:off x="5876925" y="2762250"/>
          <a:ext cx="1276350" cy="1714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95250</xdr:rowOff>
    </xdr:from>
    <xdr:to>
      <xdr:col>3</xdr:col>
      <xdr:colOff>419100</xdr:colOff>
      <xdr:row>5</xdr:row>
      <xdr:rowOff>95250</xdr:rowOff>
    </xdr:to>
    <xdr:cxnSp macro="">
      <xdr:nvCxnSpPr>
        <xdr:cNvPr id="18" name="Straight Connector 1">
          <a:extLst>
            <a:ext uri="{FF2B5EF4-FFF2-40B4-BE49-F238E27FC236}">
              <a16:creationId xmlns:a16="http://schemas.microsoft.com/office/drawing/2014/main" id="{8ACF0DA0-3864-4BDA-B232-7578233363E8}"/>
            </a:ext>
            <a:ext uri="{147F2762-F138-4A5C-976F-8EAC2B608ADB}">
              <a16:predDERef xmlns:a16="http://schemas.microsoft.com/office/drawing/2014/main" pred="{AA8EA36A-876F-7B4E-52A7-23DCD84F0464}"/>
            </a:ext>
          </a:extLst>
        </xdr:cNvPr>
        <xdr:cNvCxnSpPr>
          <a:cxnSpLocks/>
        </xdr:cNvCxnSpPr>
      </xdr:nvCxnSpPr>
      <xdr:spPr>
        <a:xfrm flipH="1" flipV="1">
          <a:off x="3648075" y="1085850"/>
          <a:ext cx="228600" cy="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</xdr:row>
      <xdr:rowOff>104775</xdr:rowOff>
    </xdr:from>
    <xdr:to>
      <xdr:col>3</xdr:col>
      <xdr:colOff>419100</xdr:colOff>
      <xdr:row>4</xdr:row>
      <xdr:rowOff>104775</xdr:rowOff>
    </xdr:to>
    <xdr:cxnSp macro="">
      <xdr:nvCxnSpPr>
        <xdr:cNvPr id="16" name="Straight Connector 2">
          <a:extLst>
            <a:ext uri="{FF2B5EF4-FFF2-40B4-BE49-F238E27FC236}">
              <a16:creationId xmlns:a16="http://schemas.microsoft.com/office/drawing/2014/main" id="{C0C916D5-E3AE-46C4-8D92-98F2A7E85298}"/>
            </a:ext>
            <a:ext uri="{147F2762-F138-4A5C-976F-8EAC2B608ADB}">
              <a16:predDERef xmlns:a16="http://schemas.microsoft.com/office/drawing/2014/main" pred="{8ACF0DA0-3864-4BDA-B232-7578233363E8}"/>
            </a:ext>
          </a:extLst>
        </xdr:cNvPr>
        <xdr:cNvCxnSpPr>
          <a:cxnSpLocks/>
        </xdr:cNvCxnSpPr>
      </xdr:nvCxnSpPr>
      <xdr:spPr>
        <a:xfrm flipH="1" flipV="1">
          <a:off x="3648075" y="904875"/>
          <a:ext cx="228600" cy="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4</xdr:row>
      <xdr:rowOff>57150</xdr:rowOff>
    </xdr:from>
    <xdr:to>
      <xdr:col>4</xdr:col>
      <xdr:colOff>66675</xdr:colOff>
      <xdr:row>5</xdr:row>
      <xdr:rowOff>171450</xdr:rowOff>
    </xdr:to>
    <xdr:sp macro="" textlink="">
      <xdr:nvSpPr>
        <xdr:cNvPr id="31" name="Rectangle 3">
          <a:extLst>
            <a:ext uri="{FF2B5EF4-FFF2-40B4-BE49-F238E27FC236}">
              <a16:creationId xmlns:a16="http://schemas.microsoft.com/office/drawing/2014/main" id="{6DD9891F-8D43-713E-D47F-C78387B05178}"/>
            </a:ext>
            <a:ext uri="{147F2762-F138-4A5C-976F-8EAC2B608ADB}">
              <a16:predDERef xmlns:a16="http://schemas.microsoft.com/office/drawing/2014/main" pred="{C0C916D5-E3AE-46C4-8D92-98F2A7E85298}"/>
            </a:ext>
          </a:extLst>
        </xdr:cNvPr>
        <xdr:cNvSpPr/>
      </xdr:nvSpPr>
      <xdr:spPr>
        <a:xfrm>
          <a:off x="3924300" y="857250"/>
          <a:ext cx="752475" cy="304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8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DROP DOWN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21T17:18:00.60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13435 4759 16383 0 0,'1'0'0'0'0,"4"0"0"0"0,4 3 0 0 0,7 3 0 0 0,5 8 0 0 0,5 2 0 0 0,3 6 0 0 0,2 3 0 0 0,0 1 0 0 0,-2 1 0 0 0,-2-2 0 0 0,-3 1 0 0 0,-2-2 0 0 0,-2 0 0 0 0,-2-2 0 0 0,-2-1 0 0 0,-2 3 0 0 0,-1-2 0 0 0,-3 0 0 0 0,-1-1 0 0 0,-2 0 0 0 0,-1 0 0 0 0,-1-1 0 0 0,-1 2 0 0 0,1 0 0 0 0,-1-1 0 0 0,0 1 0 0 0,0 1 0 0 0,-1 0 0 0 0,1 0 0 0 0,-2 3 0 0 0,0-1 0 0 0,0 0 0 0 0,1 1 0 0 0,-1 1 0 0 0,1-1 0 0 0,0-1 0 0 0,0 0 0 0 0,-1 1 0 0 0,0 0 0 0 0,-2 1 0 0 0,1 0 0 0 0,-1-1 0 0 0,0-3 0 0 0,0 0 0 0 0,0-2 0 0 0,-1-2 0 0 0,1 0 0 0 0,0-1 0 0 0,0-2 0 0 0,0 1 0 0 0,0 0 0 0 0,0 1 0 0 0,0 2 0 0 0,0-1 0 0 0,0 0 0 0 0,0-1 0 0 0,0 1 0 0 0,0 0 0 0 0,0-2 0 0 0,0 3 0 0 0,-2 1 0 0 0,0 0 0 0 0,0 1 0 0 0,0-2 0 0 0,-1-1 0 0 0,0 0 0 0 0,0-1 0 0 0,1-1 0 0 0,-1 1 0 0 0,0-2 0 0 0,1 2 0 0 0,-2-1 0 0 0,1 1 0 0 0,0 2 0 0 0,0-1 0 0 0,0 0 0 0 0,0 1 0 0 0,2-1 0 0 0,0 2 0 0 0,1-1 0 0 0,-1 0 0 0 0,1 2 0 0 0,1-1 0 0 0,-1 0 0 0 0,0 3 0 0 0,0 2 0 0 0,0 0 0 0 0,0-1 0 0 0,0-1 0 0 0,0-1 0 0 0,0-2 0 0 0,0 0 0 0 0,0-1 0 0 0,0 1 0 0 0,0 1 0 0 0,0-2 0 0 0,0 0 0 0 0,0-1 0 0 0,1-3 0 0 0,1-4 0 0 0,2-4 0 0 0,3-2 0 0 0,1-1 0 0 0,4-1 0 0 0,2 0 0 0 0,3 2 0 0 0,4-1 0 0 0,3 0 0 0 0,1 2 0 0 0,1-1 0 0 0,-2 2 0 0 0,-1-1 0 0 0,-1-1 0 0 0,-2-2 0 0 0,0-1 0 0 0,-2-1 0 0 0,-2-2 0 0 0,-3 1 0 0 0,-1-1 0 0 0,-2 2 0 0 0,-1 0 0 0 0,-1 2 0 0 0,-2 1 0 0 0,-2 2 0 0 0,-1 1 0 0 0,-3 2 0 0 0,-1-1 0 0 0,-2-1 0 0 0,-1 2 0 0 0,-4-3 0 0 0,-2 0 0 0 0,-2 0 0 0 0,-2 2 0 0 0,-1 0 0 0 0,-1 2 0 0 0,0 1 0 0 0,1-2 0 0 0,3-2 0 0 0,2-1 0 0 0,3-1 0 0 0,2-1 0 0 0,1-1 0 0 0,0 1 0 0 0,1 2 0 0 0,1 1 0 0 0,-2 1 0 0 0,1 3 0 0 0,-2 2 0 0 0,0 0 0 0 0,-1 6 0 0 0,-2 3 0 0 0,-1 7 0 0 0,-2 4 0 0 0,-1 5 0 0 0,-3 5 0 0 0,0-1 0 0 0,1 0 0 0 0,0 1 0 0 0,3 0 0 0 0,2 2 0 0 0,1 1 0 0 0,1 3 0 0 0,1 1 0 0 0,1-1 0 0 0,0 1 0 0 0,1 0 0 0 0,0-1 0 0 0,1-1 0 0 0,1 0 0 0 0,1-1 0 0 0,0 0 0 0 0,0-2 0 0 0,1 1 0 0 0,1-2 0 0 0,-1 1 0 0 0,0-3 0 0 0,0-1 0 0 0,0-2 0 0 0,0-1 0 0 0,0 0 0 0 0,0-1 0 0 0,0-2 0 0 0,0 0 0 0 0,0 0 0 0 0,0 1 0 0 0,0 0 0 0 0,0-1 0 0 0,0 0 0 0 0,0-2 0 0 0,0 0 0 0 0,0-1 0 0 0,0 1 0 0 0,0 0 0 0 0,0 0 0 0 0,0-2 0 0 0,0-2 0 0 0,0-3 0 0 0,0-1 0 0 0,1-2 0 0 0,1-1 0 0 0,0 0 0 0 0,0 1 0 0 0,-1 2 0 0 0,0 1 0 0 0,-1 1 0 0 0,1-4 0 0 0,-1 0 0 0 0,0-1 0 0 0,0-1 0 0 0,0-3 0 0 0,-1 1 0 0 0,2 1 0 0 0,1-1 0 0 0,0 2 0 0 0,0 0 0 0 0,0 1 0 0 0,1-2 0 0 0,-1 0 0 0 0,0 0 0 0 0,0 0 0 0 0,-1 1 0 0 0,-1 0 0 0 0,0 1 0 0 0,0-1 0 0 0,0 1 0 0 0,0 1 0 0 0,0 1 0 0 0,0 0 0 0 0,0 2 0 0 0,0-1 0 0 0,0 1 0 0 0,0 0 0 0 0,0-1 0 0 0,0 0 0 0 0,0-1 0 0 0,0-1 0 0 0,0 1 0 0 0,0-1 0 0 0,0 2 0 0 0,0 1 0 0 0,0 0 0 0 0,0-1 0 0 0,0 0 0 0 0,0-2 0 0 0,0-1 0 0 0,0-3 0 0 0,0-1 0 0 0,0-1 0 0 0,0-2 0 0 0,0 0 0 0 0,0-2 0 0 0,0 0 0 0 0,0-1 0 0 0,0 0 0 0 0,0-2 0 0 0,-1-1 0 0 0,-2 0 0 0 0,-1-2 0 0 0,-1-1 0 0 0,-1-1 0 0 0,0-2 0 0 0,-1 1 0 0 0,-1-2 0 0 0,-1 0 0 0 0,-2 0 0 0 0,-3 1 0 0 0,-2 0 0 0 0,0 1 0 0 0,1 2 0 0 0,0-3 0 0 0,1 0 0 0 0,-1 0 0 0 0,0-1 0 0 0,-1 0 0 0 0,-1-1 0 0 0,0 0 0 0 0,0 0 0 0 0,3 1 0 0 0,0 1 0 0 0,0-1 0 0 0,-1 2 0 0 0,-2 0 0 0 0,0 0 0 0 0,2 0 0 0 0,0 1 0 0 0,1-2 0 0 0,2-1 0 0 0,1 0 0 0 0,2-2 0 0 0,-1 0 0 0 0,1-1 0 0 0,-2 0 0 0 0,1 0 0 0 0,-1-1 0 0 0,3 1 0 0 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gov.sg/datasets/d_2bc812dbfd1e485638435fcdf7aac196/view" TargetMode="External"/><Relationship Id="rId3" Type="http://schemas.openxmlformats.org/officeDocument/2006/relationships/hyperlink" Target="https://www.moh.gov.sg/newsroom/expanding-healthcare-capacity-and-transforming-the-healthcare-workforce" TargetMode="External"/><Relationship Id="rId7" Type="http://schemas.openxmlformats.org/officeDocument/2006/relationships/hyperlink" Target="https://data.gov.sg/datasets/d_ab4f7ecfc45e0a0eafe4ae4397e77059/view" TargetMode="External"/><Relationship Id="rId12" Type="http://schemas.openxmlformats.org/officeDocument/2006/relationships/hyperlink" Target="https://www.moh.gov.sg/others/resources-and-statistics/consumer-price-indices--cpi----household-healthcare-expenditure/" TargetMode="External"/><Relationship Id="rId2" Type="http://schemas.openxmlformats.org/officeDocument/2006/relationships/hyperlink" Target="https://www.singstat.gov.sg/find-data/search-by-theme/population/population-and-population-structure/latest-data" TargetMode="External"/><Relationship Id="rId1" Type="http://schemas.openxmlformats.org/officeDocument/2006/relationships/hyperlink" Target="https://data.gov.sg/datasets/d_e2acb8eaf4eaf1e0a1608af9a9cd2634/view" TargetMode="External"/><Relationship Id="rId6" Type="http://schemas.openxmlformats.org/officeDocument/2006/relationships/hyperlink" Target="https://tablebuilder.singstat.gov.sg/table/TS/M870301" TargetMode="External"/><Relationship Id="rId11" Type="http://schemas.openxmlformats.org/officeDocument/2006/relationships/hyperlink" Target="https://data.gov.sg/datasets/d_a40c83a6f36893fc4611eda91f84eb6b/view" TargetMode="External"/><Relationship Id="rId5" Type="http://schemas.openxmlformats.org/officeDocument/2006/relationships/hyperlink" Target="https://www.moh.gov.sg/newsroom/hospital-bed-occupancy-rate/" TargetMode="External"/><Relationship Id="rId10" Type="http://schemas.openxmlformats.org/officeDocument/2006/relationships/hyperlink" Target="https://tablebuilder.singstat.gov.sg/table/TS/M810361" TargetMode="External"/><Relationship Id="rId4" Type="http://schemas.openxmlformats.org/officeDocument/2006/relationships/hyperlink" Target="https://www.moh.gov.sg/newsroom/waiting-times-for-admissions-at-public-hospitals" TargetMode="External"/><Relationship Id="rId9" Type="http://schemas.openxmlformats.org/officeDocument/2006/relationships/hyperlink" Target="https://www.moh.gov.sg/managing-expenses/schemes-and-subsidies/subsidies-for-acute-inpatient-care-at-public-healthcare-institu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620B-F811-4132-8AB6-E5C47CCEACE0}">
  <dimension ref="A1:L69"/>
  <sheetViews>
    <sheetView tabSelected="1" zoomScale="85" zoomScaleNormal="85" workbookViewId="0">
      <selection activeCell="L1" sqref="L1"/>
    </sheetView>
  </sheetViews>
  <sheetFormatPr defaultColWidth="8.88671875" defaultRowHeight="13.8" x14ac:dyDescent="0.25"/>
  <cols>
    <col min="1" max="1" width="2.109375" style="407" customWidth="1"/>
    <col min="2" max="2" width="12.88671875" style="407" customWidth="1"/>
    <col min="3" max="3" width="24.109375" style="407" customWidth="1"/>
    <col min="4" max="4" width="2.109375" style="407" customWidth="1"/>
    <col min="5" max="5" width="8.88671875" style="407"/>
    <col min="6" max="6" width="14" style="407" customWidth="1"/>
    <col min="7" max="7" width="2" style="407" customWidth="1"/>
    <col min="8" max="9" width="20.33203125" style="407" customWidth="1"/>
    <col min="10" max="10" width="1.88671875" style="407" customWidth="1"/>
    <col min="11" max="11" width="19" style="407" customWidth="1"/>
    <col min="12" max="12" width="18" style="407" customWidth="1"/>
    <col min="13" max="16384" width="8.88671875" style="409"/>
  </cols>
  <sheetData>
    <row r="1" spans="1:12" ht="43.5" customHeight="1" x14ac:dyDescent="0.25">
      <c r="A1" s="415"/>
      <c r="B1" s="415" t="s">
        <v>0</v>
      </c>
      <c r="C1" s="415"/>
      <c r="D1" s="415"/>
      <c r="E1" s="415"/>
      <c r="F1" s="415"/>
      <c r="G1" s="415"/>
      <c r="H1" s="415"/>
      <c r="I1" s="415"/>
      <c r="J1" s="415"/>
      <c r="K1" s="415"/>
      <c r="L1" s="408" t="s">
        <v>1</v>
      </c>
    </row>
    <row r="2" spans="1:12" ht="54" customHeight="1" x14ac:dyDescent="0.25">
      <c r="A2" s="415"/>
      <c r="B2" s="459" t="s">
        <v>2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2" ht="43.5" customHeight="1" x14ac:dyDescent="0.25">
      <c r="A3" s="415"/>
      <c r="B3" s="460" t="s">
        <v>3</v>
      </c>
      <c r="C3" s="461"/>
      <c r="D3" s="461"/>
      <c r="E3" s="461"/>
      <c r="F3" s="461"/>
      <c r="G3" s="461"/>
      <c r="H3" s="461"/>
      <c r="I3" s="461"/>
      <c r="J3" s="461"/>
      <c r="K3" s="461"/>
      <c r="L3" s="461"/>
    </row>
    <row r="4" spans="1:12" ht="43.5" customHeight="1" x14ac:dyDescent="0.25">
      <c r="A4" s="462" t="s">
        <v>4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</row>
    <row r="5" spans="1:12" ht="14.25" customHeight="1" x14ac:dyDescent="0.25">
      <c r="A5" s="416"/>
      <c r="B5" s="477" t="s">
        <v>5</v>
      </c>
      <c r="C5" s="477"/>
      <c r="D5" s="477"/>
      <c r="E5" s="477"/>
      <c r="F5" s="477"/>
      <c r="G5" s="477"/>
      <c r="H5" s="477"/>
      <c r="I5" s="477"/>
      <c r="J5" s="477"/>
      <c r="K5" s="477"/>
      <c r="L5" s="477"/>
    </row>
    <row r="6" spans="1:12" ht="48" customHeight="1" x14ac:dyDescent="0.25">
      <c r="A6" s="413"/>
      <c r="B6" s="480" t="s">
        <v>6</v>
      </c>
      <c r="C6" s="481"/>
      <c r="D6" s="417"/>
      <c r="E6" s="475" t="s">
        <v>7</v>
      </c>
      <c r="F6" s="486"/>
      <c r="G6" s="413"/>
      <c r="H6" s="475" t="s">
        <v>8</v>
      </c>
      <c r="I6" s="486"/>
      <c r="J6" s="413"/>
      <c r="K6" s="475" t="s">
        <v>9</v>
      </c>
      <c r="L6" s="476"/>
    </row>
    <row r="7" spans="1:12" ht="22.8" x14ac:dyDescent="0.4">
      <c r="A7" s="414"/>
      <c r="B7" s="482">
        <f>'M1 Demand Driver'!AF30/100</f>
        <v>0.40946690091563809</v>
      </c>
      <c r="C7" s="483"/>
      <c r="D7" s="409"/>
      <c r="E7" s="487">
        <f ca="1">'M2 BOR &amp; Tradeoff analysis'!G37</f>
        <v>0.7421392237335096</v>
      </c>
      <c r="F7" s="487"/>
      <c r="G7" s="414"/>
      <c r="H7" s="410" t="s">
        <v>10</v>
      </c>
      <c r="I7" s="410">
        <f>'M3 Healthcare Costs'!K19</f>
        <v>14104.814160089212</v>
      </c>
      <c r="J7" s="414"/>
      <c r="K7" s="420" t="s">
        <v>10</v>
      </c>
      <c r="L7" s="421">
        <f>'M4 Financing Gap and OOP'!P26</f>
        <v>951.47416008936125</v>
      </c>
    </row>
    <row r="8" spans="1:12" ht="24" customHeight="1" x14ac:dyDescent="0.25">
      <c r="A8" s="419"/>
      <c r="B8" s="484" t="s">
        <v>11</v>
      </c>
      <c r="C8" s="485"/>
      <c r="D8" s="418"/>
      <c r="E8" s="484" t="s">
        <v>12</v>
      </c>
      <c r="F8" s="484"/>
      <c r="G8" s="411"/>
      <c r="H8" s="418" t="s">
        <v>13</v>
      </c>
      <c r="I8" s="418"/>
      <c r="J8" s="411"/>
      <c r="K8" s="418" t="s">
        <v>14</v>
      </c>
      <c r="L8" s="412"/>
    </row>
    <row r="9" spans="1:12" ht="11.25" customHeight="1" x14ac:dyDescent="0.25">
      <c r="A9" s="409"/>
      <c r="B9" s="409"/>
      <c r="C9" s="409"/>
      <c r="D9" s="409"/>
      <c r="E9" s="409"/>
      <c r="F9" s="409"/>
      <c r="G9" s="409"/>
      <c r="H9" s="409"/>
      <c r="I9" s="409"/>
      <c r="J9" s="409"/>
      <c r="K9" s="409"/>
      <c r="L9" s="409"/>
    </row>
    <row r="10" spans="1:12" ht="15" customHeight="1" x14ac:dyDescent="0.25">
      <c r="A10" s="416"/>
      <c r="B10" s="478" t="s">
        <v>15</v>
      </c>
      <c r="C10" s="479"/>
      <c r="D10" s="479"/>
      <c r="E10" s="479"/>
      <c r="F10" s="479"/>
      <c r="G10" s="479"/>
      <c r="H10" s="479"/>
      <c r="I10" s="479"/>
      <c r="J10" s="479"/>
      <c r="K10" s="479"/>
      <c r="L10" s="479"/>
    </row>
    <row r="11" spans="1:12" ht="14.25" customHeight="1" x14ac:dyDescent="0.25">
      <c r="A11" s="422"/>
      <c r="B11" s="470" t="s">
        <v>16</v>
      </c>
      <c r="C11" s="470"/>
      <c r="D11" s="426"/>
      <c r="E11" s="426" t="s">
        <v>17</v>
      </c>
      <c r="F11" s="422"/>
      <c r="G11" s="422"/>
      <c r="H11" s="422"/>
      <c r="I11" s="422"/>
      <c r="J11" s="422"/>
      <c r="K11" s="422"/>
      <c r="L11" s="422"/>
    </row>
    <row r="12" spans="1:12" ht="13.95" customHeight="1" x14ac:dyDescent="0.25">
      <c r="A12" s="409"/>
      <c r="B12" s="468" t="s">
        <v>18</v>
      </c>
      <c r="C12" s="469"/>
      <c r="D12" s="423"/>
      <c r="E12" s="464" t="s">
        <v>19</v>
      </c>
      <c r="F12" s="465"/>
      <c r="G12" s="465"/>
      <c r="H12" s="465"/>
      <c r="I12" s="465"/>
      <c r="J12" s="465"/>
      <c r="K12" s="465"/>
      <c r="L12" s="465"/>
    </row>
    <row r="13" spans="1:12" ht="14.25" customHeight="1" x14ac:dyDescent="0.25">
      <c r="A13" s="409"/>
      <c r="B13" s="471" t="s">
        <v>20</v>
      </c>
      <c r="C13" s="472"/>
      <c r="D13" s="424"/>
      <c r="E13" s="464" t="s">
        <v>21</v>
      </c>
      <c r="F13" s="465"/>
      <c r="G13" s="465"/>
      <c r="H13" s="465"/>
      <c r="I13" s="465"/>
      <c r="J13" s="465"/>
      <c r="K13" s="465"/>
      <c r="L13" s="465"/>
    </row>
    <row r="14" spans="1:12" x14ac:dyDescent="0.25">
      <c r="A14" s="409"/>
      <c r="B14" s="471" t="s">
        <v>22</v>
      </c>
      <c r="C14" s="472"/>
      <c r="D14" s="424"/>
      <c r="E14" s="464" t="s">
        <v>23</v>
      </c>
      <c r="F14" s="465"/>
      <c r="G14" s="465"/>
      <c r="H14" s="465"/>
      <c r="I14" s="465"/>
      <c r="J14" s="465"/>
      <c r="K14" s="465"/>
      <c r="L14" s="465"/>
    </row>
    <row r="15" spans="1:12" x14ac:dyDescent="0.25">
      <c r="A15" s="409"/>
      <c r="B15" s="466" t="s">
        <v>24</v>
      </c>
      <c r="C15" s="467"/>
      <c r="D15" s="425"/>
      <c r="E15" s="464" t="s">
        <v>25</v>
      </c>
      <c r="F15" s="465"/>
      <c r="G15" s="465"/>
      <c r="H15" s="465"/>
      <c r="I15" s="465"/>
      <c r="J15" s="465"/>
      <c r="K15" s="465"/>
      <c r="L15" s="465"/>
    </row>
    <row r="16" spans="1:12" x14ac:dyDescent="0.25">
      <c r="A16" s="409"/>
      <c r="B16" s="466" t="s">
        <v>26</v>
      </c>
      <c r="C16" s="467"/>
      <c r="D16" s="425"/>
      <c r="E16" s="464" t="s">
        <v>27</v>
      </c>
      <c r="F16" s="465"/>
      <c r="G16" s="465"/>
      <c r="H16" s="465"/>
      <c r="I16" s="465"/>
      <c r="J16" s="465"/>
      <c r="K16" s="465"/>
      <c r="L16" s="465"/>
    </row>
    <row r="17" spans="1:12" x14ac:dyDescent="0.25">
      <c r="A17" s="409"/>
      <c r="B17" s="466" t="s">
        <v>28</v>
      </c>
      <c r="C17" s="467"/>
      <c r="D17" s="425"/>
      <c r="E17" s="464" t="s">
        <v>29</v>
      </c>
      <c r="F17" s="465"/>
      <c r="G17" s="465"/>
      <c r="H17" s="465"/>
      <c r="I17" s="465"/>
      <c r="J17" s="465"/>
      <c r="K17" s="465"/>
      <c r="L17" s="465"/>
    </row>
    <row r="18" spans="1:12" x14ac:dyDescent="0.25">
      <c r="A18" s="409"/>
      <c r="B18" s="466" t="s">
        <v>30</v>
      </c>
      <c r="C18" s="467"/>
      <c r="D18" s="425"/>
      <c r="E18" s="464" t="s">
        <v>31</v>
      </c>
      <c r="F18" s="465"/>
      <c r="G18" s="465"/>
      <c r="H18" s="465"/>
      <c r="I18" s="465"/>
      <c r="J18" s="465"/>
      <c r="K18" s="465"/>
      <c r="L18" s="465"/>
    </row>
    <row r="19" spans="1:12" x14ac:dyDescent="0.25">
      <c r="A19" s="409"/>
      <c r="B19" s="466" t="s">
        <v>32</v>
      </c>
      <c r="C19" s="467"/>
      <c r="D19" s="425"/>
      <c r="E19" s="464" t="s">
        <v>33</v>
      </c>
      <c r="F19" s="465"/>
      <c r="G19" s="465"/>
      <c r="H19" s="465"/>
      <c r="I19" s="465"/>
      <c r="J19" s="465"/>
      <c r="K19" s="465"/>
      <c r="L19" s="465"/>
    </row>
    <row r="20" spans="1:12" x14ac:dyDescent="0.25">
      <c r="A20" s="409"/>
      <c r="B20" s="466" t="s">
        <v>34</v>
      </c>
      <c r="C20" s="467"/>
      <c r="D20" s="425"/>
      <c r="E20" s="464" t="s">
        <v>35</v>
      </c>
      <c r="F20" s="465"/>
      <c r="G20" s="465"/>
      <c r="H20" s="465"/>
      <c r="I20" s="465"/>
      <c r="J20" s="465"/>
      <c r="K20" s="465"/>
      <c r="L20" s="465"/>
    </row>
    <row r="21" spans="1:12" x14ac:dyDescent="0.25">
      <c r="A21" s="409"/>
      <c r="B21" s="466" t="s">
        <v>36</v>
      </c>
      <c r="C21" s="467"/>
      <c r="D21" s="425"/>
      <c r="E21" s="464" t="s">
        <v>37</v>
      </c>
      <c r="F21" s="465"/>
      <c r="G21" s="465"/>
      <c r="H21" s="465"/>
      <c r="I21" s="465"/>
      <c r="J21" s="465"/>
      <c r="K21" s="465"/>
      <c r="L21" s="465"/>
    </row>
    <row r="22" spans="1:12" x14ac:dyDescent="0.25">
      <c r="A22" s="409"/>
      <c r="B22" s="466" t="s">
        <v>38</v>
      </c>
      <c r="C22" s="467"/>
      <c r="D22" s="425"/>
      <c r="E22" s="464" t="s">
        <v>39</v>
      </c>
      <c r="F22" s="465"/>
      <c r="G22" s="465"/>
      <c r="H22" s="465"/>
      <c r="I22" s="465"/>
      <c r="J22" s="465"/>
      <c r="K22" s="465"/>
      <c r="L22" s="465"/>
    </row>
    <row r="23" spans="1:12" x14ac:dyDescent="0.25">
      <c r="A23" s="409"/>
      <c r="B23" s="466" t="s">
        <v>40</v>
      </c>
      <c r="C23" s="467"/>
      <c r="D23" s="425"/>
      <c r="E23" s="464" t="s">
        <v>41</v>
      </c>
      <c r="F23" s="465"/>
      <c r="G23" s="465"/>
      <c r="H23" s="465"/>
      <c r="I23" s="465"/>
      <c r="J23" s="465"/>
      <c r="K23" s="465"/>
      <c r="L23" s="465"/>
    </row>
    <row r="24" spans="1:12" x14ac:dyDescent="0.25">
      <c r="A24" s="409"/>
      <c r="B24" s="466" t="s">
        <v>42</v>
      </c>
      <c r="C24" s="467"/>
      <c r="D24" s="425"/>
      <c r="E24" s="464" t="s">
        <v>43</v>
      </c>
      <c r="F24" s="465"/>
      <c r="G24" s="465"/>
      <c r="H24" s="465"/>
      <c r="I24" s="465"/>
      <c r="J24" s="465"/>
      <c r="K24" s="465"/>
      <c r="L24" s="465"/>
    </row>
    <row r="25" spans="1:12" x14ac:dyDescent="0.25">
      <c r="A25" s="409"/>
      <c r="B25" s="466" t="s">
        <v>44</v>
      </c>
      <c r="C25" s="467"/>
      <c r="D25" s="425"/>
      <c r="E25" s="464" t="s">
        <v>45</v>
      </c>
      <c r="F25" s="465"/>
      <c r="G25" s="465"/>
      <c r="H25" s="465"/>
      <c r="I25" s="465"/>
      <c r="J25" s="465"/>
      <c r="K25" s="465"/>
      <c r="L25" s="465"/>
    </row>
    <row r="26" spans="1:12" x14ac:dyDescent="0.25">
      <c r="A26" s="409"/>
      <c r="B26" s="466" t="s">
        <v>46</v>
      </c>
      <c r="C26" s="467"/>
      <c r="D26" s="425"/>
      <c r="E26" s="464" t="s">
        <v>47</v>
      </c>
      <c r="F26" s="465"/>
      <c r="G26" s="465"/>
      <c r="H26" s="465"/>
      <c r="I26" s="465"/>
      <c r="J26" s="465"/>
      <c r="K26" s="465"/>
      <c r="L26" s="465"/>
    </row>
    <row r="27" spans="1:12" x14ac:dyDescent="0.25">
      <c r="A27" s="409"/>
      <c r="B27" s="466" t="s">
        <v>48</v>
      </c>
      <c r="C27" s="467"/>
      <c r="D27" s="425"/>
      <c r="E27" s="464" t="s">
        <v>49</v>
      </c>
      <c r="F27" s="465"/>
      <c r="G27" s="465"/>
      <c r="H27" s="465"/>
      <c r="I27" s="465"/>
      <c r="J27" s="465"/>
      <c r="K27" s="465"/>
      <c r="L27" s="465"/>
    </row>
    <row r="28" spans="1:12" x14ac:dyDescent="0.25">
      <c r="A28" s="409"/>
      <c r="B28" s="474"/>
      <c r="C28" s="474"/>
      <c r="D28" s="409"/>
      <c r="E28" s="473"/>
      <c r="F28" s="473"/>
      <c r="G28" s="473"/>
      <c r="H28" s="473"/>
      <c r="I28" s="473"/>
      <c r="J28" s="473"/>
      <c r="K28" s="473"/>
      <c r="L28" s="473"/>
    </row>
    <row r="29" spans="1:12" x14ac:dyDescent="0.25">
      <c r="A29" s="409"/>
      <c r="B29" s="474"/>
      <c r="C29" s="474"/>
      <c r="D29" s="409"/>
      <c r="E29" s="409"/>
      <c r="F29" s="409"/>
      <c r="G29" s="409"/>
      <c r="H29" s="409"/>
      <c r="I29" s="409"/>
      <c r="J29" s="409"/>
      <c r="K29" s="409"/>
      <c r="L29" s="409"/>
    </row>
    <row r="30" spans="1:12" x14ac:dyDescent="0.25">
      <c r="A30" s="409"/>
      <c r="B30" s="474"/>
      <c r="C30" s="474"/>
      <c r="D30" s="409"/>
      <c r="E30" s="409"/>
      <c r="F30" s="409"/>
      <c r="G30" s="409"/>
      <c r="H30" s="409"/>
      <c r="I30" s="409"/>
      <c r="J30" s="409"/>
      <c r="K30" s="409"/>
      <c r="L30" s="409"/>
    </row>
    <row r="31" spans="1:12" x14ac:dyDescent="0.25">
      <c r="A31" s="409"/>
      <c r="B31" s="409"/>
      <c r="C31" s="409"/>
      <c r="D31" s="409"/>
      <c r="E31" s="409"/>
      <c r="F31" s="409"/>
      <c r="G31" s="409"/>
      <c r="H31" s="409"/>
      <c r="I31" s="409"/>
      <c r="J31" s="409"/>
      <c r="K31" s="409"/>
      <c r="L31" s="409"/>
    </row>
    <row r="32" spans="1:12" x14ac:dyDescent="0.25">
      <c r="A32" s="409"/>
      <c r="B32" s="409"/>
      <c r="C32" s="409"/>
      <c r="D32" s="409"/>
      <c r="E32" s="409"/>
      <c r="F32" s="409"/>
      <c r="G32" s="409"/>
      <c r="H32" s="409"/>
      <c r="I32" s="409"/>
      <c r="J32" s="409"/>
      <c r="K32" s="409"/>
      <c r="L32" s="409"/>
    </row>
    <row r="33" s="409" customFormat="1" x14ac:dyDescent="0.25"/>
    <row r="34" s="409" customFormat="1" x14ac:dyDescent="0.25"/>
    <row r="35" s="409" customFormat="1" x14ac:dyDescent="0.25"/>
    <row r="36" s="409" customFormat="1" x14ac:dyDescent="0.25"/>
    <row r="37" s="409" customFormat="1" x14ac:dyDescent="0.25"/>
    <row r="38" s="409" customFormat="1" x14ac:dyDescent="0.25"/>
    <row r="39" s="409" customFormat="1" x14ac:dyDescent="0.25"/>
    <row r="40" s="409" customFormat="1" x14ac:dyDescent="0.25"/>
    <row r="41" s="409" customFormat="1" x14ac:dyDescent="0.25"/>
    <row r="42" s="409" customFormat="1" x14ac:dyDescent="0.25"/>
    <row r="43" s="409" customFormat="1" x14ac:dyDescent="0.25"/>
    <row r="44" s="409" customFormat="1" x14ac:dyDescent="0.25"/>
    <row r="45" s="409" customFormat="1" x14ac:dyDescent="0.25"/>
    <row r="46" s="409" customFormat="1" x14ac:dyDescent="0.25"/>
    <row r="47" s="409" customFormat="1" x14ac:dyDescent="0.25"/>
    <row r="48" s="409" customFormat="1" x14ac:dyDescent="0.25"/>
    <row r="49" s="409" customFormat="1" x14ac:dyDescent="0.25"/>
    <row r="50" s="409" customFormat="1" x14ac:dyDescent="0.25"/>
    <row r="51" s="409" customFormat="1" x14ac:dyDescent="0.25"/>
    <row r="52" s="409" customFormat="1" x14ac:dyDescent="0.25"/>
    <row r="53" s="409" customFormat="1" x14ac:dyDescent="0.25"/>
    <row r="54" s="409" customFormat="1" x14ac:dyDescent="0.25"/>
    <row r="55" s="409" customFormat="1" x14ac:dyDescent="0.25"/>
    <row r="56" s="409" customFormat="1" x14ac:dyDescent="0.25"/>
    <row r="57" s="409" customFormat="1" x14ac:dyDescent="0.25"/>
    <row r="58" s="409" customFormat="1" x14ac:dyDescent="0.25"/>
    <row r="59" s="409" customFormat="1" x14ac:dyDescent="0.25"/>
    <row r="60" s="409" customFormat="1" x14ac:dyDescent="0.25"/>
    <row r="61" s="409" customFormat="1" x14ac:dyDescent="0.25"/>
    <row r="62" s="409" customFormat="1" x14ac:dyDescent="0.25"/>
    <row r="63" s="409" customFormat="1" x14ac:dyDescent="0.25"/>
    <row r="64" s="409" customFormat="1" x14ac:dyDescent="0.25"/>
    <row r="65" s="409" customFormat="1" x14ac:dyDescent="0.25"/>
    <row r="66" s="409" customFormat="1" x14ac:dyDescent="0.25"/>
    <row r="67" s="409" customFormat="1" x14ac:dyDescent="0.25"/>
    <row r="68" s="409" customFormat="1" x14ac:dyDescent="0.25"/>
    <row r="69" s="409" customFormat="1" x14ac:dyDescent="0.25"/>
  </sheetData>
  <mergeCells count="50">
    <mergeCell ref="B21:C21"/>
    <mergeCell ref="K6:L6"/>
    <mergeCell ref="B5:L5"/>
    <mergeCell ref="B10:L10"/>
    <mergeCell ref="B6:C6"/>
    <mergeCell ref="B7:C7"/>
    <mergeCell ref="B8:C8"/>
    <mergeCell ref="E6:F6"/>
    <mergeCell ref="E8:F8"/>
    <mergeCell ref="E7:F7"/>
    <mergeCell ref="H6:I6"/>
    <mergeCell ref="B29:C29"/>
    <mergeCell ref="B30:C30"/>
    <mergeCell ref="E12:L12"/>
    <mergeCell ref="E13:L13"/>
    <mergeCell ref="E14:L14"/>
    <mergeCell ref="E15:L15"/>
    <mergeCell ref="E16:L16"/>
    <mergeCell ref="E17:L17"/>
    <mergeCell ref="E18:L18"/>
    <mergeCell ref="E19:L19"/>
    <mergeCell ref="B23:C23"/>
    <mergeCell ref="B24:C24"/>
    <mergeCell ref="B25:C25"/>
    <mergeCell ref="B26:C26"/>
    <mergeCell ref="B27:C27"/>
    <mergeCell ref="B28:C28"/>
    <mergeCell ref="E28:L28"/>
    <mergeCell ref="E20:L20"/>
    <mergeCell ref="E21:L21"/>
    <mergeCell ref="E22:L22"/>
    <mergeCell ref="E23:L23"/>
    <mergeCell ref="E24:L24"/>
    <mergeCell ref="E25:L25"/>
    <mergeCell ref="B2:L2"/>
    <mergeCell ref="B3:L3"/>
    <mergeCell ref="A4:L4"/>
    <mergeCell ref="E26:L26"/>
    <mergeCell ref="E27:L27"/>
    <mergeCell ref="B22:C22"/>
    <mergeCell ref="B12:C12"/>
    <mergeCell ref="B11:C11"/>
    <mergeCell ref="B13:C13"/>
    <mergeCell ref="B14:C14"/>
    <mergeCell ref="B15:C15"/>
    <mergeCell ref="B16:C16"/>
    <mergeCell ref="B17:C17"/>
    <mergeCell ref="B18:C18"/>
    <mergeCell ref="B19:C19"/>
    <mergeCell ref="B20:C20"/>
  </mergeCells>
  <hyperlinks>
    <hyperlink ref="B12" location="'Influence Diagram'!A1" display="Influence Diagram" xr:uid="{CD430648-6B2C-4A21-AE17-E482C6080850}"/>
    <hyperlink ref="B13:C13" location="Blackbox!A1" display="Blackbox" xr:uid="{95B2B09C-C538-4A02-867F-DEE52B2D96C0}"/>
    <hyperlink ref="B14:C14" location="'M1 Population'!A1" display="M1 Population" xr:uid="{761A7B89-9F2A-49FE-BA5F-4A06C60BA222}"/>
    <hyperlink ref="B15:C15" location="'M1 Demand Driver'!A1" display="M1 Demand Driver" xr:uid="{955701DC-D7B8-47B0-A98B-B59A1C31AA30}"/>
    <hyperlink ref="B16:C16" location="'M2 HAR'!A1" display="M2 HAR" xr:uid="{BC210164-2AA1-446F-94F6-CA45895D40DC}"/>
    <hyperlink ref="B17:C17" location="'M2 Beds'!A1" display="M2 Beds" xr:uid="{42B1B4F6-2C46-442A-9553-D69DC396E78C}"/>
    <hyperlink ref="B18:C18" location="'M2 BOR'!A1" display="M2 BOR" xr:uid="{97301E59-1F84-4BDE-BC03-49FF2EF5EEE0}"/>
    <hyperlink ref="B19:C19" location="'M2 Sensitivity Analysis'!A1" display="M2 Sensitivity Analysis" xr:uid="{9B76CA59-4DB1-4EA9-9284-5630303E6302}"/>
    <hyperlink ref="B20:C20" location="'M3 Healthcare Budget'!A1" display="M3 Healthcare Budget" xr:uid="{6CC91287-10ED-4E46-ACF5-FDCFD40E1A24}"/>
    <hyperlink ref="B21:C21" location="'M3 Healthcare Costs'!A1" display="M3 Healthcare Costs" xr:uid="{AFF355E4-32CF-4CA8-B18A-75F70CF0267E}"/>
    <hyperlink ref="B22:C22" location="'M3 Sensitivity Analysis'!A1" display="M3 Sensitivity Analysis" xr:uid="{5A7EBEED-0556-4D9C-8950-2DB0922EB39B}"/>
    <hyperlink ref="B23:C23" location="'M4 Household data'!A1" display="M4 Household Data" xr:uid="{C847CF6D-92F2-4DF3-B2E9-84CD1709B6C5}"/>
    <hyperlink ref="B24:C24" location="'M4 Financing Gap and OOP'!A1" display="M4 Financing Gap and OOP" xr:uid="{6B02977D-88B7-42F3-AE68-9D43963E49E9}"/>
    <hyperlink ref="B25:C25" location="'M4 Trade-off Analysis'!A1" display="M4 Trade-off Analysis" xr:uid="{C71A11B2-9EB2-480D-9A2D-ADD1E58DAC80}"/>
    <hyperlink ref="B26:C26" location="'M4 Ward OOP Calculator '!A1" display="M4 Ward OOP Calculator" xr:uid="{943EA61E-EA66-49F4-BA5F-2A9751B25455}"/>
    <hyperlink ref="B27:C27" location="Data!A1" display="Data" xr:uid="{4489D7FF-3007-413E-BF97-1AFBA6F592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83F6-504B-4FFD-9834-919B9D09AE6E}">
  <dimension ref="A1:A21"/>
  <sheetViews>
    <sheetView showGridLines="0" workbookViewId="0">
      <selection activeCell="AG32" sqref="AG32"/>
    </sheetView>
  </sheetViews>
  <sheetFormatPr defaultColWidth="9.109375" defaultRowHeight="13.8" x14ac:dyDescent="0.25"/>
  <cols>
    <col min="1" max="16384" width="9.109375" style="12"/>
  </cols>
  <sheetData>
    <row r="1" spans="1:1" ht="21" x14ac:dyDescent="0.4">
      <c r="A1" s="44" t="s">
        <v>18</v>
      </c>
    </row>
    <row r="21" spans="1:1" x14ac:dyDescent="0.25">
      <c r="A21" s="36" t="s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5494-7793-4AEC-A527-965C0506A5D7}">
  <dimension ref="A1:P21"/>
  <sheetViews>
    <sheetView showGridLines="0" workbookViewId="0">
      <selection activeCell="A9" sqref="A9"/>
    </sheetView>
  </sheetViews>
  <sheetFormatPr defaultColWidth="8.88671875" defaultRowHeight="14.4" x14ac:dyDescent="0.3"/>
  <cols>
    <col min="2" max="2" width="9.88671875" customWidth="1"/>
  </cols>
  <sheetData>
    <row r="1" spans="1:16" x14ac:dyDescent="0.3">
      <c r="A1" s="13" t="s">
        <v>20</v>
      </c>
    </row>
    <row r="3" spans="1:16" x14ac:dyDescent="0.3">
      <c r="A3" s="36" t="s">
        <v>51</v>
      </c>
      <c r="B3" s="12"/>
      <c r="C3" s="12"/>
      <c r="D3" s="12"/>
      <c r="K3" s="36" t="s">
        <v>52</v>
      </c>
    </row>
    <row r="4" spans="1:16" x14ac:dyDescent="0.3">
      <c r="A4" s="12"/>
      <c r="B4" s="12"/>
      <c r="C4" s="12"/>
      <c r="D4" s="12"/>
    </row>
    <row r="5" spans="1:16" x14ac:dyDescent="0.3">
      <c r="A5" s="45" t="s">
        <v>53</v>
      </c>
      <c r="B5" s="12"/>
      <c r="C5" s="12"/>
      <c r="D5" s="12"/>
      <c r="K5" s="45" t="s">
        <v>54</v>
      </c>
    </row>
    <row r="6" spans="1:16" x14ac:dyDescent="0.3">
      <c r="A6" s="364" t="s">
        <v>55</v>
      </c>
      <c r="B6" s="364"/>
      <c r="C6" s="364"/>
      <c r="D6" s="364"/>
      <c r="E6" s="46"/>
      <c r="K6" s="365" t="s">
        <v>56</v>
      </c>
      <c r="L6" s="47"/>
      <c r="M6" s="47"/>
      <c r="N6" s="47"/>
      <c r="O6" s="47"/>
      <c r="P6" s="47"/>
    </row>
    <row r="7" spans="1:16" x14ac:dyDescent="0.3">
      <c r="A7" s="364" t="s">
        <v>57</v>
      </c>
      <c r="B7" s="364"/>
      <c r="C7" s="364"/>
      <c r="D7" s="364"/>
      <c r="E7" s="46"/>
      <c r="K7" s="365" t="s">
        <v>58</v>
      </c>
      <c r="L7" s="47"/>
      <c r="M7" s="47"/>
      <c r="N7" s="47"/>
      <c r="O7" s="47"/>
      <c r="P7" s="47"/>
    </row>
    <row r="8" spans="1:16" x14ac:dyDescent="0.3">
      <c r="A8" s="364" t="s">
        <v>59</v>
      </c>
      <c r="B8" s="364"/>
      <c r="C8" s="364"/>
      <c r="D8" s="364"/>
      <c r="E8" s="46"/>
      <c r="L8" s="80"/>
      <c r="M8" s="80"/>
      <c r="N8" s="80"/>
      <c r="O8" s="80"/>
      <c r="P8" s="80"/>
    </row>
    <row r="9" spans="1:16" x14ac:dyDescent="0.3">
      <c r="A9" s="364" t="s">
        <v>60</v>
      </c>
      <c r="B9" s="364"/>
      <c r="C9" s="364"/>
      <c r="D9" s="364"/>
      <c r="E9" s="46"/>
    </row>
    <row r="10" spans="1:16" x14ac:dyDescent="0.3">
      <c r="A10" s="12"/>
      <c r="B10" s="12"/>
      <c r="C10" s="12"/>
      <c r="D10" s="12"/>
    </row>
    <row r="11" spans="1:16" x14ac:dyDescent="0.3">
      <c r="A11" s="45" t="s">
        <v>61</v>
      </c>
      <c r="B11" s="12"/>
      <c r="C11" s="12"/>
      <c r="D11" s="12"/>
      <c r="K11" s="45" t="s">
        <v>62</v>
      </c>
    </row>
    <row r="12" spans="1:16" x14ac:dyDescent="0.3">
      <c r="A12" s="364" t="s">
        <v>63</v>
      </c>
      <c r="B12" s="364"/>
      <c r="C12" s="364"/>
      <c r="D12" s="364"/>
      <c r="E12" s="46"/>
      <c r="K12" s="365" t="s">
        <v>64</v>
      </c>
      <c r="L12" s="47"/>
      <c r="M12" s="47"/>
      <c r="N12" s="47"/>
      <c r="O12" s="47"/>
      <c r="P12" s="47"/>
    </row>
    <row r="13" spans="1:16" x14ac:dyDescent="0.3">
      <c r="A13" s="364" t="s">
        <v>65</v>
      </c>
      <c r="B13" s="364"/>
      <c r="C13" s="364"/>
      <c r="D13" s="364"/>
      <c r="E13" s="46"/>
      <c r="K13" s="365" t="s">
        <v>66</v>
      </c>
      <c r="L13" s="47"/>
      <c r="M13" s="47"/>
      <c r="N13" s="47"/>
      <c r="O13" s="47"/>
      <c r="P13" s="47"/>
    </row>
    <row r="14" spans="1:16" x14ac:dyDescent="0.3">
      <c r="A14" s="364" t="s">
        <v>67</v>
      </c>
      <c r="B14" s="364"/>
      <c r="C14" s="364"/>
      <c r="D14" s="364"/>
      <c r="E14" s="46"/>
      <c r="K14" s="365" t="s">
        <v>68</v>
      </c>
      <c r="L14" s="47"/>
      <c r="M14" s="47"/>
      <c r="N14" s="47"/>
      <c r="O14" s="47"/>
      <c r="P14" s="47"/>
    </row>
    <row r="15" spans="1:16" x14ac:dyDescent="0.3">
      <c r="A15" s="364" t="s">
        <v>69</v>
      </c>
      <c r="B15" s="364"/>
      <c r="C15" s="364"/>
      <c r="D15" s="364"/>
      <c r="E15" s="46"/>
      <c r="K15" s="365" t="s">
        <v>70</v>
      </c>
      <c r="L15" s="47"/>
      <c r="M15" s="47"/>
      <c r="N15" s="47"/>
      <c r="O15" s="47"/>
      <c r="P15" s="47"/>
    </row>
    <row r="16" spans="1:16" x14ac:dyDescent="0.3">
      <c r="A16" s="364" t="s">
        <v>71</v>
      </c>
      <c r="B16" s="364"/>
      <c r="C16" s="364"/>
      <c r="D16" s="364"/>
      <c r="E16" s="46"/>
      <c r="K16" s="365" t="s">
        <v>7</v>
      </c>
      <c r="L16" s="47"/>
      <c r="M16" s="47"/>
      <c r="N16" s="47"/>
      <c r="O16" s="47"/>
      <c r="P16" s="47"/>
    </row>
    <row r="17" spans="1:5" x14ac:dyDescent="0.3">
      <c r="A17" s="364" t="s">
        <v>72</v>
      </c>
      <c r="B17" s="364"/>
      <c r="C17" s="364"/>
      <c r="D17" s="364"/>
      <c r="E17" s="46"/>
    </row>
    <row r="18" spans="1:5" x14ac:dyDescent="0.3">
      <c r="A18" s="364" t="s">
        <v>73</v>
      </c>
      <c r="B18" s="364"/>
      <c r="C18" s="364"/>
      <c r="D18" s="364"/>
      <c r="E18" s="46"/>
    </row>
    <row r="19" spans="1:5" x14ac:dyDescent="0.3">
      <c r="B19" s="12"/>
      <c r="C19" s="12"/>
      <c r="D19" s="12"/>
    </row>
    <row r="20" spans="1:5" x14ac:dyDescent="0.3">
      <c r="A20" s="12"/>
      <c r="B20" s="12"/>
      <c r="C20" s="12"/>
      <c r="D20" s="12"/>
    </row>
    <row r="21" spans="1:5" x14ac:dyDescent="0.3">
      <c r="A21" s="12"/>
      <c r="B21" s="12"/>
      <c r="C21" s="12"/>
      <c r="D21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4208-2173-4883-86EA-224BE1CE7E3C}">
  <dimension ref="A1:AA115"/>
  <sheetViews>
    <sheetView workbookViewId="0"/>
  </sheetViews>
  <sheetFormatPr defaultColWidth="8.88671875" defaultRowHeight="14.25" customHeight="1" x14ac:dyDescent="0.25"/>
  <cols>
    <col min="1" max="1" width="16" style="35" customWidth="1"/>
    <col min="2" max="2" width="17.88671875" style="35" customWidth="1"/>
    <col min="3" max="3" width="17.33203125" style="35" customWidth="1"/>
    <col min="4" max="4" width="18.44140625" style="35" customWidth="1"/>
    <col min="5" max="5" width="14.6640625" style="35" customWidth="1"/>
    <col min="6" max="6" width="12.88671875" style="35" customWidth="1"/>
    <col min="7" max="8" width="12.44140625" style="35" customWidth="1"/>
    <col min="9" max="9" width="12.88671875" style="35" customWidth="1"/>
    <col min="10" max="10" width="12.44140625" style="35" customWidth="1"/>
    <col min="11" max="11" width="12.109375" style="35" customWidth="1"/>
    <col min="12" max="12" width="11.88671875" style="35" customWidth="1"/>
    <col min="13" max="13" width="12" style="35" customWidth="1"/>
    <col min="14" max="14" width="11.33203125" style="35" customWidth="1"/>
    <col min="15" max="15" width="12.44140625" style="35" bestFit="1" customWidth="1"/>
    <col min="16" max="17" width="10.44140625" style="35" customWidth="1"/>
    <col min="18" max="18" width="10.109375" style="35" customWidth="1"/>
    <col min="19" max="19" width="10.88671875" style="35" customWidth="1"/>
    <col min="20" max="20" width="11.33203125" style="35" customWidth="1"/>
    <col min="21" max="21" width="10.44140625" style="35" customWidth="1"/>
    <col min="22" max="22" width="10.88671875" style="35" customWidth="1"/>
    <col min="23" max="23" width="12" style="35" customWidth="1"/>
    <col min="24" max="24" width="10" style="35" customWidth="1"/>
    <col min="25" max="25" width="9" style="35" customWidth="1"/>
    <col min="26" max="16383" width="8.88671875" style="35"/>
    <col min="16384" max="16384" width="8.88671875" style="35" bestFit="1" customWidth="1"/>
  </cols>
  <sheetData>
    <row r="1" spans="1:27" ht="13.8" x14ac:dyDescent="0.25">
      <c r="A1" s="13" t="s">
        <v>74</v>
      </c>
      <c r="B1" s="12"/>
      <c r="C1" s="12"/>
      <c r="D1" s="12"/>
      <c r="E1" s="13" t="s">
        <v>75</v>
      </c>
      <c r="F1" s="13"/>
      <c r="G1" s="13"/>
      <c r="H1" s="13"/>
      <c r="I1" s="13"/>
      <c r="J1" s="13"/>
      <c r="K1" s="12"/>
      <c r="L1" s="12"/>
      <c r="M1" s="12"/>
      <c r="N1" s="1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3.8" x14ac:dyDescent="0.25">
      <c r="A2" s="357" t="s">
        <v>76</v>
      </c>
      <c r="B2" s="366" t="s">
        <v>77</v>
      </c>
      <c r="C2" s="367" t="s">
        <v>78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21.75" customHeight="1" x14ac:dyDescent="0.25">
      <c r="A3" s="48" t="s">
        <v>79</v>
      </c>
      <c r="B3" s="49">
        <f t="shared" ref="B3:B22" si="0">AVERAGE($R52:$V52)</f>
        <v>2.0200000000000005</v>
      </c>
      <c r="C3" s="50">
        <f>1-(B3/1000)</f>
        <v>0.99797999999999998</v>
      </c>
      <c r="D3" s="12"/>
      <c r="E3" s="357" t="s">
        <v>76</v>
      </c>
      <c r="F3" s="367">
        <v>2026</v>
      </c>
      <c r="G3" s="367">
        <v>2027</v>
      </c>
      <c r="H3" s="367">
        <v>2028</v>
      </c>
      <c r="I3" s="367">
        <v>2029</v>
      </c>
      <c r="J3" s="367">
        <v>2030</v>
      </c>
      <c r="K3" s="367">
        <v>2031</v>
      </c>
      <c r="L3" s="367">
        <v>2032</v>
      </c>
      <c r="M3" s="367">
        <v>2033</v>
      </c>
      <c r="N3" s="367">
        <v>2034</v>
      </c>
      <c r="O3" s="367">
        <v>2035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3.8" x14ac:dyDescent="0.25">
      <c r="A4" s="48" t="s">
        <v>80</v>
      </c>
      <c r="B4" s="49">
        <f t="shared" si="0"/>
        <v>0.1</v>
      </c>
      <c r="C4" s="50">
        <f t="shared" ref="C4:C22" si="1">1-(B4/1000)</f>
        <v>0.99990000000000001</v>
      </c>
      <c r="D4" s="12"/>
      <c r="E4" s="48" t="s">
        <v>81</v>
      </c>
      <c r="F4" s="51" cm="1">
        <f t="array" ref="F4">GROWTH($P14:$Z14, $P$13:$Z$13, F$3)</f>
        <v>1.7031887781695221</v>
      </c>
      <c r="G4" s="51" cm="1">
        <f t="array" ref="G4">GROWTH($P14:$Z14, $P$13:$Z$13, G$3)</f>
        <v>1.6234625436985022</v>
      </c>
      <c r="H4" s="51" cm="1">
        <f t="array" ref="H4">GROWTH($P14:$Z14, $P$13:$Z$13, H$3)</f>
        <v>1.5474682927541248</v>
      </c>
      <c r="I4" s="51" cm="1">
        <f t="array" ref="I4">GROWTH($P14:$Z14, $P$13:$Z$13, I$3)</f>
        <v>1.475031331258184</v>
      </c>
      <c r="J4" s="51" cm="1">
        <f t="array" ref="J4">GROWTH($P14:$Z14, $P$13:$Z$13, J$3)</f>
        <v>1.4059851425588832</v>
      </c>
      <c r="K4" s="51" cm="1">
        <f t="array" ref="K4">GROWTH($P14:$Z14, $P$13:$Z$13, K$3)</f>
        <v>1.3401710046458264</v>
      </c>
      <c r="L4" s="51" cm="1">
        <f t="array" ref="L4">GROWTH($P14:$Z14, $P$13:$Z$13, L$3)</f>
        <v>1.2774376252828603</v>
      </c>
      <c r="M4" s="51" cm="1">
        <f t="array" ref="M4">GROWTH($P14:$Z14, $P$13:$Z$13, M$3)</f>
        <v>1.2176407942205454</v>
      </c>
      <c r="N4" s="51" cm="1">
        <f t="array" ref="N4">GROWTH($P14:$Z14, $P$13:$Z$13, N$3)</f>
        <v>1.1606430516885409</v>
      </c>
      <c r="O4" s="51" cm="1">
        <f t="array" ref="O4">GROWTH($P14:$Z14, $P$13:$Z$13, O$3)</f>
        <v>1.1063133724056859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3.8" x14ac:dyDescent="0.25">
      <c r="A5" s="48" t="s">
        <v>82</v>
      </c>
      <c r="B5" s="49">
        <f t="shared" si="0"/>
        <v>0.1</v>
      </c>
      <c r="C5" s="50">
        <f t="shared" si="1"/>
        <v>0.99990000000000001</v>
      </c>
      <c r="D5" s="12"/>
      <c r="E5" s="48" t="s">
        <v>83</v>
      </c>
      <c r="F5" s="51" cm="1">
        <f t="array" ref="F5">GROWTH($P15:$Z15, $P$13:$Z$13, F$3)</f>
        <v>8.3187495965589751</v>
      </c>
      <c r="G5" s="51" cm="1">
        <f t="array" ref="G5">GROWTH($P15:$Z15, $P$13:$Z$13, G$3)</f>
        <v>7.7580791221420933</v>
      </c>
      <c r="H5" s="51" cm="1">
        <f t="array" ref="H5">GROWTH($P15:$Z15, $P$13:$Z$13, H$3)</f>
        <v>7.2351969447806486</v>
      </c>
      <c r="I5" s="51" cm="1">
        <f t="array" ref="I5">GROWTH($P15:$Z15, $P$13:$Z$13, I$3)</f>
        <v>6.7475561934343009</v>
      </c>
      <c r="J5" s="51" cm="1">
        <f t="array" ref="J5">GROWTH($P15:$Z15, $P$13:$Z$13, J$3)</f>
        <v>6.2927816521149209</v>
      </c>
      <c r="K5" s="51" cm="1">
        <f t="array" ref="K5">GROWTH($P15:$Z15, $P$13:$Z$13, K$3)</f>
        <v>5.8686581906090538</v>
      </c>
      <c r="L5" s="51" cm="1">
        <f t="array" ref="L5">GROWTH($P15:$Z15, $P$13:$Z$13, L$3)</f>
        <v>5.4731199749523345</v>
      </c>
      <c r="M5" s="51" cm="1">
        <f t="array" ref="M5">GROWTH($P15:$Z15, $P$13:$Z$13, M$3)</f>
        <v>5.1042404050990529</v>
      </c>
      <c r="N5" s="51" cm="1">
        <f t="array" ref="N5">GROWTH($P15:$Z15, $P$13:$Z$13, N$3)</f>
        <v>4.7602227307783265</v>
      </c>
      <c r="O5" s="51" cm="1">
        <f t="array" ref="O5">GROWTH($P15:$Z15, $P$13:$Z$13, O$3)</f>
        <v>4.439391299826438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3.8" x14ac:dyDescent="0.25">
      <c r="A6" s="48" t="s">
        <v>84</v>
      </c>
      <c r="B6" s="49">
        <f t="shared" si="0"/>
        <v>0.12</v>
      </c>
      <c r="C6" s="50">
        <f t="shared" si="1"/>
        <v>0.99987999999999999</v>
      </c>
      <c r="D6" s="12"/>
      <c r="E6" s="48" t="s">
        <v>85</v>
      </c>
      <c r="F6" s="51" cm="1">
        <f t="array" ref="F6">GROWTH($P16:$Z16, $P$13:$Z$13, F$3)</f>
        <v>38.022728304924229</v>
      </c>
      <c r="G6" s="51" cm="1">
        <f t="array" ref="G6">GROWTH($P16:$Z16, $P$13:$Z$13, G$3)</f>
        <v>35.919572684101041</v>
      </c>
      <c r="H6" s="51" cm="1">
        <f t="array" ref="H6">GROWTH($P16:$Z16, $P$13:$Z$13, H$3)</f>
        <v>33.932749156280956</v>
      </c>
      <c r="I6" s="51" cm="1">
        <f t="array" ref="I6">GROWTH($P16:$Z16, $P$13:$Z$13, I$3)</f>
        <v>32.055823030787991</v>
      </c>
      <c r="J6" s="51" cm="1">
        <f t="array" ref="J6">GROWTH($P16:$Z16, $P$13:$Z$13, J$3)</f>
        <v>30.282715539746007</v>
      </c>
      <c r="K6" s="51" cm="1">
        <f t="array" ref="K6">GROWTH($P16:$Z16, $P$13:$Z$13, K$3)</f>
        <v>28.607684150876459</v>
      </c>
      <c r="L6" s="51" cm="1">
        <f t="array" ref="L6">GROWTH($P16:$Z16, $P$13:$Z$13, L$3)</f>
        <v>27.025303969260904</v>
      </c>
      <c r="M6" s="51" cm="1">
        <f t="array" ref="M6">GROWTH($P16:$Z16, $P$13:$Z$13, M$3)</f>
        <v>25.530450167829581</v>
      </c>
      <c r="N6" s="51" cm="1">
        <f t="array" ref="N6">GROWTH($P16:$Z16, $P$13:$Z$13, N$3)</f>
        <v>24.118281389671086</v>
      </c>
      <c r="O6" s="51" cm="1">
        <f t="array" ref="O6">GROWTH($P16:$Z16, $P$13:$Z$13, O$3)</f>
        <v>22.784224068415543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3.8" x14ac:dyDescent="0.25">
      <c r="A7" s="48" t="s">
        <v>81</v>
      </c>
      <c r="B7" s="49">
        <f t="shared" si="0"/>
        <v>0.21999999999999997</v>
      </c>
      <c r="C7" s="50">
        <f t="shared" si="1"/>
        <v>0.99978</v>
      </c>
      <c r="D7" s="12"/>
      <c r="E7" s="48" t="s">
        <v>86</v>
      </c>
      <c r="F7" s="51" cm="1">
        <f t="array" ref="F7">GROWTH($P17:$Z17, $P$13:$Z$13, F$3)</f>
        <v>74.141049479202323</v>
      </c>
      <c r="G7" s="51" cm="1">
        <f t="array" ref="G7">GROWTH($P17:$Z17, $P$13:$Z$13, G$3)</f>
        <v>72.06516366599854</v>
      </c>
      <c r="H7" s="51" cm="1">
        <f t="array" ref="H7">GROWTH($P17:$Z17, $P$13:$Z$13, H$3)</f>
        <v>70.047400875596978</v>
      </c>
      <c r="I7" s="51" cm="1">
        <f t="array" ref="I7">GROWTH($P17:$Z17, $P$13:$Z$13, I$3)</f>
        <v>68.08613371319673</v>
      </c>
      <c r="J7" s="51" cm="1">
        <f t="array" ref="J7">GROWTH($P17:$Z17, $P$13:$Z$13, J$3)</f>
        <v>66.179780349656411</v>
      </c>
      <c r="K7" s="51" cm="1">
        <f t="array" ref="K7">GROWTH($P17:$Z17, $P$13:$Z$13, K$3)</f>
        <v>64.326803245692801</v>
      </c>
      <c r="L7" s="51" cm="1">
        <f t="array" ref="L7">GROWTH($P17:$Z17, $P$13:$Z$13, L$3)</f>
        <v>62.525707911805675</v>
      </c>
      <c r="M7" s="51" cm="1">
        <f t="array" ref="M7">GROWTH($P17:$Z17, $P$13:$Z$13, M$3)</f>
        <v>60.775041702918898</v>
      </c>
      <c r="N7" s="51" cm="1">
        <f t="array" ref="N7">GROWTH($P17:$Z17, $P$13:$Z$13, N$3)</f>
        <v>59.073392646772902</v>
      </c>
      <c r="O7" s="51" cm="1">
        <f t="array" ref="O7">GROWTH($P17:$Z17, $P$13:$Z$13, O$3)</f>
        <v>57.41938830512067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3.8" x14ac:dyDescent="0.25">
      <c r="A8" s="48" t="s">
        <v>83</v>
      </c>
      <c r="B8" s="49">
        <f t="shared" si="0"/>
        <v>0.24</v>
      </c>
      <c r="C8" s="50">
        <f t="shared" si="1"/>
        <v>0.99975999999999998</v>
      </c>
      <c r="D8" s="12"/>
      <c r="E8" s="48" t="s">
        <v>87</v>
      </c>
      <c r="F8" s="51" cm="1">
        <f t="array" ref="F8">GROWTH($P18:$Z18, $P$13:$Z$13, F$3)</f>
        <v>48.525003739671682</v>
      </c>
      <c r="G8" s="51" cm="1">
        <f t="array" ref="G8">GROWTH($P18:$Z18, $P$13:$Z$13, G$3)</f>
        <v>48.394502350049017</v>
      </c>
      <c r="H8" s="51" cm="1">
        <f t="array" ref="H8">GROWTH($P18:$Z18, $P$13:$Z$13, H$3)</f>
        <v>48.264351926142609</v>
      </c>
      <c r="I8" s="51" cm="1">
        <f t="array" ref="I8">GROWTH($P18:$Z18, $P$13:$Z$13, I$3)</f>
        <v>48.134551524077935</v>
      </c>
      <c r="J8" s="51" cm="1">
        <f t="array" ref="J8">GROWTH($P18:$Z18, $P$13:$Z$13, J$3)</f>
        <v>48.005100202518939</v>
      </c>
      <c r="K8" s="51" cm="1">
        <f t="array" ref="K8">GROWTH($P18:$Z18, $P$13:$Z$13, K$3)</f>
        <v>47.875997022661132</v>
      </c>
      <c r="L8" s="51" cm="1">
        <f t="array" ref="L8">GROWTH($P18:$Z18, $P$13:$Z$13, L$3)</f>
        <v>47.747241048224851</v>
      </c>
      <c r="M8" s="51" cm="1">
        <f t="array" ref="M8">GROWTH($P18:$Z18, $P$13:$Z$13, M$3)</f>
        <v>47.618831345448314</v>
      </c>
      <c r="N8" s="51" cm="1">
        <f t="array" ref="N8">GROWTH($P18:$Z18, $P$13:$Z$13, N$3)</f>
        <v>47.490766983081102</v>
      </c>
      <c r="O8" s="51" cm="1">
        <f t="array" ref="O8">GROWTH($P18:$Z18, $P$13:$Z$13, O$3)</f>
        <v>47.363047032377182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3.8" x14ac:dyDescent="0.25">
      <c r="A9" s="48" t="s">
        <v>85</v>
      </c>
      <c r="B9" s="49">
        <f t="shared" si="0"/>
        <v>0.3</v>
      </c>
      <c r="C9" s="50">
        <f t="shared" si="1"/>
        <v>0.99970000000000003</v>
      </c>
      <c r="D9" s="12"/>
      <c r="E9" s="48" t="s">
        <v>88</v>
      </c>
      <c r="F9" s="51" cm="1">
        <f t="array" ref="F9">GROWTH($P19:$Z19, $P$13:$Z$13, F$3)</f>
        <v>10.223881752982942</v>
      </c>
      <c r="G9" s="51" cm="1">
        <f t="array" ref="G9">GROWTH($P19:$Z19, $P$13:$Z$13, G$3)</f>
        <v>10.355572839256284</v>
      </c>
      <c r="H9" s="51" cm="1">
        <f t="array" ref="H9">GROWTH($P19:$Z19, $P$13:$Z$13, H$3)</f>
        <v>10.488960203188432</v>
      </c>
      <c r="I9" s="51" cm="1">
        <f t="array" ref="I9">GROWTH($P19:$Z19, $P$13:$Z$13, I$3)</f>
        <v>10.624065694078203</v>
      </c>
      <c r="J9" s="51" cm="1">
        <f t="array" ref="J9">GROWTH($P19:$Z19, $P$13:$Z$13, J$3)</f>
        <v>10.760911442659394</v>
      </c>
      <c r="K9" s="51" cm="1">
        <f t="array" ref="K9">GROWTH($P19:$Z19, $P$13:$Z$13, K$3)</f>
        <v>10.899519864725855</v>
      </c>
      <c r="L9" s="51" cm="1">
        <f t="array" ref="L9">GROWTH($P19:$Z19, $P$13:$Z$13, L$3)</f>
        <v>11.039913664803288</v>
      </c>
      <c r="M9" s="51" cm="1">
        <f t="array" ref="M9">GROWTH($P19:$Z19, $P$13:$Z$13, M$3)</f>
        <v>11.182115839868281</v>
      </c>
      <c r="N9" s="51" cm="1">
        <f t="array" ref="N9">GROWTH($P19:$Z19, $P$13:$Z$13, N$3)</f>
        <v>11.326149683115437</v>
      </c>
      <c r="O9" s="51" cm="1">
        <f t="array" ref="O9">GROWTH($P19:$Z19, $P$13:$Z$13, O$3)</f>
        <v>11.472038787772654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3.8" x14ac:dyDescent="0.25">
      <c r="A10" s="48" t="s">
        <v>86</v>
      </c>
      <c r="B10" s="49">
        <f t="shared" si="0"/>
        <v>0.36</v>
      </c>
      <c r="C10" s="50">
        <f t="shared" si="1"/>
        <v>0.99963999999999997</v>
      </c>
      <c r="D10" s="12"/>
      <c r="E10" s="48" t="s">
        <v>89</v>
      </c>
      <c r="F10" s="51" cm="1">
        <f t="array" ref="F10">GROWTH($P20:$Z20, $P$13:$Z$13, F$3)</f>
        <v>0.56881686399403708</v>
      </c>
      <c r="G10" s="51" cm="1">
        <f t="array" ref="G10">GROWTH($P20:$Z20, $P$13:$Z$13, G$3)</f>
        <v>0.59158904048437844</v>
      </c>
      <c r="H10" s="51" cm="1">
        <f t="array" ref="H10">GROWTH($P20:$Z20, $P$13:$Z$13, H$3)</f>
        <v>0.61527288478018183</v>
      </c>
      <c r="I10" s="51" cm="1">
        <f t="array" ref="I10">GROWTH($P20:$Z20, $P$13:$Z$13, I$3)</f>
        <v>0.63990489485026769</v>
      </c>
      <c r="J10" s="51" cm="1">
        <f t="array" ref="J10">GROWTH($P20:$Z20, $P$13:$Z$13, J$3)</f>
        <v>0.66552302983354483</v>
      </c>
      <c r="K10" s="51" cm="1">
        <f t="array" ref="K10">GROWTH($P20:$Z20, $P$13:$Z$13, K$3)</f>
        <v>0.69216676853591041</v>
      </c>
      <c r="L10" s="51" cm="1">
        <f t="array" ref="L10">GROWTH($P20:$Z20, $P$13:$Z$13, L$3)</f>
        <v>0.71987717026903186</v>
      </c>
      <c r="M10" s="51" cm="1">
        <f t="array" ref="M10">GROWTH($P20:$Z20, $P$13:$Z$13, M$3)</f>
        <v>0.74869693812476423</v>
      </c>
      <c r="N10" s="51" cm="1">
        <f t="array" ref="N10">GROWTH($P20:$Z20, $P$13:$Z$13, N$3)</f>
        <v>0.7786704847827165</v>
      </c>
      <c r="O10" s="51" cm="1">
        <f t="array" ref="O10">GROWTH($P20:$Z20, $P$13:$Z$13, O$3)</f>
        <v>0.80984400095237352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3.8" x14ac:dyDescent="0.25">
      <c r="A11" s="48" t="s">
        <v>87</v>
      </c>
      <c r="B11" s="49">
        <f t="shared" si="0"/>
        <v>0.52</v>
      </c>
      <c r="C11" s="50">
        <f t="shared" si="1"/>
        <v>0.99948000000000004</v>
      </c>
      <c r="D11" s="12"/>
      <c r="E11" s="12"/>
      <c r="F11" s="12"/>
      <c r="G11" s="12"/>
      <c r="H11" s="12"/>
      <c r="I11" s="12"/>
      <c r="J11" s="5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3.8" x14ac:dyDescent="0.25">
      <c r="A12" s="48" t="s">
        <v>88</v>
      </c>
      <c r="B12" s="49">
        <f t="shared" si="0"/>
        <v>0.8</v>
      </c>
      <c r="C12" s="50">
        <f t="shared" si="1"/>
        <v>0.99919999999999998</v>
      </c>
      <c r="D12" s="12"/>
      <c r="E12" s="13" t="s">
        <v>90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3.8" x14ac:dyDescent="0.25">
      <c r="A13" s="48" t="s">
        <v>89</v>
      </c>
      <c r="B13" s="49">
        <f t="shared" si="0"/>
        <v>1.34</v>
      </c>
      <c r="C13" s="50">
        <f t="shared" si="1"/>
        <v>0.99865999999999999</v>
      </c>
      <c r="D13" s="12"/>
      <c r="E13" s="357" t="s">
        <v>76</v>
      </c>
      <c r="F13" s="367">
        <v>2005</v>
      </c>
      <c r="G13" s="367">
        <v>2006</v>
      </c>
      <c r="H13" s="367">
        <v>2007</v>
      </c>
      <c r="I13" s="367">
        <v>2008</v>
      </c>
      <c r="J13" s="367">
        <v>2009</v>
      </c>
      <c r="K13" s="367">
        <v>2010</v>
      </c>
      <c r="L13" s="367">
        <v>2011</v>
      </c>
      <c r="M13" s="367">
        <v>2012</v>
      </c>
      <c r="N13" s="367">
        <v>2013</v>
      </c>
      <c r="O13" s="367">
        <v>2014</v>
      </c>
      <c r="P13" s="367">
        <v>2015</v>
      </c>
      <c r="Q13" s="367">
        <v>2016</v>
      </c>
      <c r="R13" s="367">
        <v>2017</v>
      </c>
      <c r="S13" s="367">
        <v>2018</v>
      </c>
      <c r="T13" s="358">
        <v>2019</v>
      </c>
      <c r="U13" s="359">
        <v>2020</v>
      </c>
      <c r="V13" s="359">
        <v>2021</v>
      </c>
      <c r="W13" s="359">
        <v>2022</v>
      </c>
      <c r="X13" s="359">
        <v>2023</v>
      </c>
      <c r="Y13" s="359">
        <v>2024</v>
      </c>
      <c r="Z13" s="359">
        <v>2025</v>
      </c>
      <c r="AA13" s="12"/>
    </row>
    <row r="14" spans="1:27" ht="13.8" x14ac:dyDescent="0.25">
      <c r="A14" s="48" t="s">
        <v>91</v>
      </c>
      <c r="B14" s="49">
        <f t="shared" si="0"/>
        <v>2.2199999999999998</v>
      </c>
      <c r="C14" s="50">
        <f t="shared" si="1"/>
        <v>0.99778</v>
      </c>
      <c r="D14" s="12"/>
      <c r="E14" s="48" t="s">
        <v>81</v>
      </c>
      <c r="F14" s="53">
        <v>7.2</v>
      </c>
      <c r="G14" s="53">
        <v>6.6</v>
      </c>
      <c r="H14" s="53">
        <v>6.1</v>
      </c>
      <c r="I14" s="53">
        <v>6.1</v>
      </c>
      <c r="J14" s="53">
        <v>5</v>
      </c>
      <c r="K14" s="53">
        <v>4.8</v>
      </c>
      <c r="L14" s="53">
        <v>4.7</v>
      </c>
      <c r="M14" s="53">
        <v>4.3</v>
      </c>
      <c r="N14" s="53">
        <v>3.8</v>
      </c>
      <c r="O14" s="53">
        <v>3.3</v>
      </c>
      <c r="P14" s="53">
        <v>2.7</v>
      </c>
      <c r="Q14" s="53">
        <v>2.7</v>
      </c>
      <c r="R14" s="53">
        <v>2.6</v>
      </c>
      <c r="S14" s="53">
        <v>2.5</v>
      </c>
      <c r="T14" s="53">
        <v>2.5</v>
      </c>
      <c r="U14" s="53">
        <v>2.2999999999999998</v>
      </c>
      <c r="V14" s="53">
        <v>2.2000000000000002</v>
      </c>
      <c r="W14" s="53">
        <v>2.1</v>
      </c>
      <c r="X14" s="53">
        <v>2.2000000000000002</v>
      </c>
      <c r="Y14" s="53">
        <v>2.2999999999999998</v>
      </c>
      <c r="Z14" s="53">
        <v>1.3</v>
      </c>
      <c r="AA14" s="12"/>
    </row>
    <row r="15" spans="1:27" ht="13.8" x14ac:dyDescent="0.25">
      <c r="A15" s="48" t="s">
        <v>92</v>
      </c>
      <c r="B15" s="49">
        <f t="shared" si="0"/>
        <v>3.5800000000000005</v>
      </c>
      <c r="C15" s="50">
        <f t="shared" si="1"/>
        <v>0.99641999999999997</v>
      </c>
      <c r="D15" s="12"/>
      <c r="E15" s="48" t="s">
        <v>83</v>
      </c>
      <c r="F15" s="54">
        <v>32.5</v>
      </c>
      <c r="G15" s="54">
        <v>30.6</v>
      </c>
      <c r="H15" s="54">
        <v>31.2</v>
      </c>
      <c r="I15" s="54">
        <v>29.1</v>
      </c>
      <c r="J15" s="54">
        <v>25.4</v>
      </c>
      <c r="K15" s="54">
        <v>23.3</v>
      </c>
      <c r="L15" s="54">
        <v>22.4</v>
      </c>
      <c r="M15" s="54">
        <v>22.2</v>
      </c>
      <c r="N15" s="54">
        <v>19.7</v>
      </c>
      <c r="O15" s="54">
        <v>19.5</v>
      </c>
      <c r="P15" s="54">
        <v>18.7</v>
      </c>
      <c r="Q15" s="54">
        <v>17</v>
      </c>
      <c r="R15" s="54">
        <v>15.1</v>
      </c>
      <c r="S15" s="54">
        <v>14.4</v>
      </c>
      <c r="T15" s="54">
        <v>12.7</v>
      </c>
      <c r="U15" s="54">
        <v>12.7</v>
      </c>
      <c r="V15" s="54">
        <v>11.7</v>
      </c>
      <c r="W15" s="54">
        <v>11.2</v>
      </c>
      <c r="X15" s="54">
        <v>10.6</v>
      </c>
      <c r="Y15" s="54">
        <v>9.8000000000000007</v>
      </c>
      <c r="Z15" s="54">
        <v>8.6999999999999993</v>
      </c>
      <c r="AA15" s="12"/>
    </row>
    <row r="16" spans="1:27" ht="13.8" x14ac:dyDescent="0.25">
      <c r="A16" s="48" t="s">
        <v>93</v>
      </c>
      <c r="B16" s="49">
        <f t="shared" si="0"/>
        <v>5.9599999999999991</v>
      </c>
      <c r="C16" s="50">
        <f t="shared" si="1"/>
        <v>0.99404000000000003</v>
      </c>
      <c r="D16" s="12"/>
      <c r="E16" s="48" t="s">
        <v>85</v>
      </c>
      <c r="F16" s="54">
        <v>80.7</v>
      </c>
      <c r="G16" s="54">
        <v>79.599999999999994</v>
      </c>
      <c r="H16" s="54">
        <v>78.7</v>
      </c>
      <c r="I16" s="54">
        <v>78.900000000000006</v>
      </c>
      <c r="J16" s="54">
        <v>74.2</v>
      </c>
      <c r="K16" s="54">
        <v>68.099999999999994</v>
      </c>
      <c r="L16" s="54">
        <v>73.400000000000006</v>
      </c>
      <c r="M16" s="54">
        <v>76.7</v>
      </c>
      <c r="N16" s="54">
        <v>70.5</v>
      </c>
      <c r="O16" s="54">
        <v>71.099999999999994</v>
      </c>
      <c r="P16" s="54">
        <v>68.7</v>
      </c>
      <c r="Q16" s="54">
        <v>65.8</v>
      </c>
      <c r="R16" s="54">
        <v>62.2</v>
      </c>
      <c r="S16" s="54">
        <v>60.6</v>
      </c>
      <c r="T16" s="54">
        <v>59.4</v>
      </c>
      <c r="U16" s="54">
        <v>54.6</v>
      </c>
      <c r="V16" s="54">
        <v>53.4</v>
      </c>
      <c r="W16" s="54">
        <v>48.8</v>
      </c>
      <c r="X16" s="54">
        <v>43.7</v>
      </c>
      <c r="Y16" s="54">
        <v>42.6</v>
      </c>
      <c r="Z16" s="54">
        <v>38.299999999999997</v>
      </c>
      <c r="AA16" s="12"/>
    </row>
    <row r="17" spans="1:27" ht="13.8" x14ac:dyDescent="0.25">
      <c r="A17" s="48" t="s">
        <v>94</v>
      </c>
      <c r="B17" s="49">
        <f t="shared" si="0"/>
        <v>9.620000000000001</v>
      </c>
      <c r="C17" s="50">
        <f t="shared" si="1"/>
        <v>0.99038000000000004</v>
      </c>
      <c r="D17" s="12"/>
      <c r="E17" s="48" t="s">
        <v>86</v>
      </c>
      <c r="F17" s="54">
        <v>89.2</v>
      </c>
      <c r="G17" s="54">
        <v>93.1</v>
      </c>
      <c r="H17" s="54">
        <v>94.4</v>
      </c>
      <c r="I17" s="54">
        <v>94.6</v>
      </c>
      <c r="J17" s="54">
        <v>90.1</v>
      </c>
      <c r="K17" s="54">
        <v>86</v>
      </c>
      <c r="L17" s="54">
        <v>89.5</v>
      </c>
      <c r="M17" s="54">
        <v>99.5</v>
      </c>
      <c r="N17" s="54">
        <v>90.2</v>
      </c>
      <c r="O17" s="54">
        <v>99.3</v>
      </c>
      <c r="P17" s="54">
        <v>98.5</v>
      </c>
      <c r="Q17" s="54">
        <v>96.2</v>
      </c>
      <c r="R17" s="54">
        <v>93.3</v>
      </c>
      <c r="S17" s="54">
        <v>92.9</v>
      </c>
      <c r="T17" s="54">
        <v>92.4</v>
      </c>
      <c r="U17" s="54">
        <v>90.8</v>
      </c>
      <c r="V17" s="54">
        <v>92.9</v>
      </c>
      <c r="W17" s="54">
        <v>86.7</v>
      </c>
      <c r="X17" s="54">
        <v>78.7</v>
      </c>
      <c r="Y17" s="54">
        <v>79.3</v>
      </c>
      <c r="Z17" s="54">
        <v>70</v>
      </c>
      <c r="AA17" s="12"/>
    </row>
    <row r="18" spans="1:27" ht="13.8" x14ac:dyDescent="0.25">
      <c r="A18" s="48" t="s">
        <v>95</v>
      </c>
      <c r="B18" s="49">
        <f t="shared" si="0"/>
        <v>15.34</v>
      </c>
      <c r="C18" s="50">
        <f t="shared" si="1"/>
        <v>0.98465999999999998</v>
      </c>
      <c r="D18" s="12"/>
      <c r="E18" s="48" t="s">
        <v>87</v>
      </c>
      <c r="F18" s="54">
        <v>36.799999999999997</v>
      </c>
      <c r="G18" s="54">
        <v>38.700000000000003</v>
      </c>
      <c r="H18" s="54">
        <v>41.5</v>
      </c>
      <c r="I18" s="54">
        <v>41.5</v>
      </c>
      <c r="J18" s="54">
        <v>42.6</v>
      </c>
      <c r="K18" s="54">
        <v>42.2</v>
      </c>
      <c r="L18" s="54">
        <v>42.4</v>
      </c>
      <c r="M18" s="54">
        <v>46.3</v>
      </c>
      <c r="N18" s="54">
        <v>44.7</v>
      </c>
      <c r="O18" s="54">
        <v>48.3</v>
      </c>
      <c r="P18" s="54">
        <v>49.9</v>
      </c>
      <c r="Q18" s="54">
        <v>49.7</v>
      </c>
      <c r="R18" s="54">
        <v>48.6</v>
      </c>
      <c r="S18" s="54">
        <v>48.4</v>
      </c>
      <c r="T18" s="54">
        <v>50.1</v>
      </c>
      <c r="U18" s="54">
        <v>49</v>
      </c>
      <c r="V18" s="54">
        <v>53.6</v>
      </c>
      <c r="W18" s="54">
        <v>49.4</v>
      </c>
      <c r="X18" s="54">
        <v>47.9</v>
      </c>
      <c r="Y18" s="54">
        <v>50</v>
      </c>
      <c r="Z18" s="54">
        <v>46.2</v>
      </c>
      <c r="AA18" s="12"/>
    </row>
    <row r="19" spans="1:27" ht="13.8" x14ac:dyDescent="0.25">
      <c r="A19" s="48" t="s">
        <v>96</v>
      </c>
      <c r="B19" s="49">
        <f t="shared" si="0"/>
        <v>26.660000000000004</v>
      </c>
      <c r="C19" s="50">
        <f t="shared" si="1"/>
        <v>0.97333999999999998</v>
      </c>
      <c r="D19" s="12"/>
      <c r="E19" s="48" t="s">
        <v>88</v>
      </c>
      <c r="F19" s="54">
        <v>6.2</v>
      </c>
      <c r="G19" s="54">
        <v>6.4</v>
      </c>
      <c r="H19" s="54">
        <v>6.4</v>
      </c>
      <c r="I19" s="54">
        <v>6.6</v>
      </c>
      <c r="J19" s="54">
        <v>7</v>
      </c>
      <c r="K19" s="54">
        <v>6.1</v>
      </c>
      <c r="L19" s="54">
        <v>7.2</v>
      </c>
      <c r="M19" s="54">
        <v>8</v>
      </c>
      <c r="N19" s="54">
        <v>8</v>
      </c>
      <c r="O19" s="54">
        <v>8.3000000000000007</v>
      </c>
      <c r="P19" s="54">
        <v>8.9</v>
      </c>
      <c r="Q19" s="54">
        <v>8.8000000000000007</v>
      </c>
      <c r="R19" s="54">
        <v>9</v>
      </c>
      <c r="S19" s="54">
        <v>8.8000000000000007</v>
      </c>
      <c r="T19" s="54">
        <v>9.9</v>
      </c>
      <c r="U19" s="54">
        <v>9.5</v>
      </c>
      <c r="V19" s="54">
        <v>10.199999999999999</v>
      </c>
      <c r="W19" s="54">
        <v>9.8000000000000007</v>
      </c>
      <c r="X19" s="54">
        <v>9.6</v>
      </c>
      <c r="Y19" s="54">
        <v>10.199999999999999</v>
      </c>
      <c r="Z19" s="54">
        <v>9.6</v>
      </c>
      <c r="AA19" s="12"/>
    </row>
    <row r="20" spans="1:27" ht="13.8" x14ac:dyDescent="0.25">
      <c r="A20" s="48" t="s">
        <v>97</v>
      </c>
      <c r="B20" s="49">
        <f t="shared" si="0"/>
        <v>49.98</v>
      </c>
      <c r="C20" s="50">
        <f t="shared" si="1"/>
        <v>0.95001999999999998</v>
      </c>
      <c r="D20" s="12"/>
      <c r="E20" s="48" t="s">
        <v>89</v>
      </c>
      <c r="F20" s="54">
        <v>0.2</v>
      </c>
      <c r="G20" s="54">
        <v>0.2</v>
      </c>
      <c r="H20" s="54">
        <v>0.2</v>
      </c>
      <c r="I20" s="54">
        <v>0.2</v>
      </c>
      <c r="J20" s="54">
        <v>0.3</v>
      </c>
      <c r="K20" s="54">
        <v>0.3</v>
      </c>
      <c r="L20" s="54">
        <v>0.3</v>
      </c>
      <c r="M20" s="54">
        <v>0.3</v>
      </c>
      <c r="N20" s="54">
        <v>0.3</v>
      </c>
      <c r="O20" s="54">
        <v>0.3</v>
      </c>
      <c r="P20" s="54">
        <v>0.4</v>
      </c>
      <c r="Q20" s="54">
        <v>0.3</v>
      </c>
      <c r="R20" s="54">
        <v>0.5</v>
      </c>
      <c r="S20" s="54">
        <v>0.5</v>
      </c>
      <c r="T20" s="54">
        <v>0.4</v>
      </c>
      <c r="U20" s="54">
        <v>0.5</v>
      </c>
      <c r="V20" s="54">
        <v>0.3</v>
      </c>
      <c r="W20" s="54">
        <v>0.4</v>
      </c>
      <c r="X20" s="54">
        <v>0.6</v>
      </c>
      <c r="Y20" s="54">
        <v>0.7</v>
      </c>
      <c r="Z20" s="54">
        <v>0.5</v>
      </c>
      <c r="AA20" s="12"/>
    </row>
    <row r="21" spans="1:27" ht="13.8" x14ac:dyDescent="0.25">
      <c r="A21" s="55" t="s">
        <v>98</v>
      </c>
      <c r="B21" s="49">
        <f t="shared" si="0"/>
        <v>91.9</v>
      </c>
      <c r="C21" s="50">
        <f t="shared" si="1"/>
        <v>0.90810000000000002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12"/>
      <c r="X21" s="12"/>
      <c r="Y21" s="12"/>
      <c r="Z21" s="12"/>
      <c r="AA21" s="12"/>
    </row>
    <row r="22" spans="1:27" ht="13.8" x14ac:dyDescent="0.25">
      <c r="A22" s="48" t="s">
        <v>99</v>
      </c>
      <c r="B22" s="49">
        <f t="shared" si="0"/>
        <v>168.60000000000002</v>
      </c>
      <c r="C22" s="50">
        <f t="shared" si="1"/>
        <v>0.83139999999999992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3.8" x14ac:dyDescent="0.25">
      <c r="A23" s="12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57"/>
      <c r="Q23" s="57"/>
      <c r="R23" s="57"/>
      <c r="S23" s="57"/>
      <c r="T23" s="57"/>
      <c r="U23" s="57"/>
      <c r="V23" s="57"/>
      <c r="W23" s="12"/>
      <c r="X23" s="12"/>
      <c r="Y23" s="12"/>
      <c r="Z23" s="12"/>
      <c r="AA23" s="12"/>
    </row>
    <row r="24" spans="1:27" ht="13.8" x14ac:dyDescent="0.25">
      <c r="A24" s="12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57"/>
      <c r="Q24" s="57"/>
      <c r="R24" s="57"/>
      <c r="S24" s="57"/>
      <c r="T24" s="57"/>
      <c r="U24" s="57"/>
      <c r="V24" s="57"/>
      <c r="W24" s="12"/>
      <c r="X24" s="12"/>
      <c r="Y24" s="12"/>
      <c r="Z24" s="12"/>
      <c r="AA24" s="12"/>
    </row>
    <row r="25" spans="1:27" ht="13.8" x14ac:dyDescent="0.25">
      <c r="A25" s="12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57"/>
      <c r="Q25" s="57"/>
      <c r="R25" s="57"/>
      <c r="S25" s="57"/>
      <c r="T25" s="57"/>
      <c r="U25" s="57"/>
      <c r="V25" s="57"/>
      <c r="W25" s="12"/>
      <c r="X25" s="12"/>
      <c r="Y25" s="12"/>
      <c r="Z25" s="12"/>
      <c r="AA25" s="12"/>
    </row>
    <row r="26" spans="1:27" ht="13.8" x14ac:dyDescent="0.25">
      <c r="A26" s="12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57"/>
      <c r="Q26" s="57"/>
      <c r="R26" s="57"/>
      <c r="S26" s="57"/>
      <c r="T26" s="57"/>
      <c r="U26" s="57"/>
      <c r="V26" s="57"/>
      <c r="W26" s="12"/>
      <c r="X26" s="12"/>
      <c r="Y26" s="12"/>
      <c r="Z26" s="12"/>
      <c r="AA26" s="12"/>
    </row>
    <row r="27" spans="1:27" ht="13.8" x14ac:dyDescent="0.25">
      <c r="A27" s="12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57"/>
      <c r="Q27" s="57"/>
      <c r="R27" s="57"/>
      <c r="S27" s="57"/>
      <c r="T27" s="57"/>
      <c r="U27" s="57"/>
      <c r="V27" s="57"/>
      <c r="W27" s="12"/>
      <c r="X27" s="12"/>
      <c r="Y27" s="12"/>
      <c r="Z27" s="12"/>
      <c r="AA27" s="12"/>
    </row>
    <row r="28" spans="1:27" ht="13.8" x14ac:dyDescent="0.25">
      <c r="A28" s="12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57"/>
      <c r="Q28" s="57"/>
      <c r="R28" s="57"/>
      <c r="S28" s="57"/>
      <c r="T28" s="57"/>
      <c r="U28" s="57"/>
      <c r="V28" s="57"/>
      <c r="W28" s="12"/>
      <c r="X28" s="12"/>
      <c r="Y28" s="12"/>
      <c r="Z28" s="12"/>
      <c r="AA28" s="12"/>
    </row>
    <row r="29" spans="1:27" ht="13.8" x14ac:dyDescent="0.25">
      <c r="A29" s="12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7"/>
      <c r="Q29" s="57"/>
      <c r="R29" s="57"/>
      <c r="S29" s="57"/>
      <c r="T29" s="57"/>
      <c r="U29" s="57"/>
      <c r="V29" s="57"/>
      <c r="W29" s="12"/>
      <c r="X29" s="12"/>
      <c r="Y29" s="12"/>
      <c r="Z29" s="12"/>
      <c r="AA29" s="12"/>
    </row>
    <row r="30" spans="1:27" ht="13.8" x14ac:dyDescent="0.25">
      <c r="A30" s="12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57"/>
      <c r="Q30" s="57"/>
      <c r="R30" s="57"/>
      <c r="S30" s="57"/>
      <c r="T30" s="57"/>
      <c r="U30" s="57"/>
      <c r="V30" s="57"/>
      <c r="W30" s="12"/>
      <c r="X30" s="12"/>
      <c r="Y30" s="12"/>
      <c r="Z30" s="12"/>
      <c r="AA30" s="12"/>
    </row>
    <row r="31" spans="1:27" ht="13.8" x14ac:dyDescent="0.25">
      <c r="A31" s="12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57"/>
      <c r="Q31" s="57"/>
      <c r="R31" s="57"/>
      <c r="S31" s="57"/>
      <c r="T31" s="57"/>
      <c r="U31" s="57"/>
      <c r="V31" s="57"/>
      <c r="W31" s="12"/>
      <c r="X31" s="12"/>
      <c r="Y31" s="12"/>
      <c r="Z31" s="12"/>
      <c r="AA31" s="12"/>
    </row>
    <row r="32" spans="1:27" ht="13.8" x14ac:dyDescent="0.25">
      <c r="A32" s="12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57"/>
      <c r="Q32" s="57"/>
      <c r="R32" s="57"/>
      <c r="S32" s="57"/>
      <c r="T32" s="57"/>
      <c r="U32" s="57"/>
      <c r="V32" s="57"/>
      <c r="W32" s="12"/>
      <c r="X32" s="12"/>
      <c r="Y32" s="12"/>
      <c r="Z32" s="12"/>
      <c r="AA32" s="12"/>
    </row>
    <row r="33" spans="1:27" ht="13.8" x14ac:dyDescent="0.25">
      <c r="A33" s="12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57"/>
      <c r="Q33" s="57"/>
      <c r="R33" s="57"/>
      <c r="S33" s="57"/>
      <c r="T33" s="57"/>
      <c r="U33" s="57"/>
      <c r="V33" s="57"/>
      <c r="W33" s="12"/>
      <c r="X33" s="12"/>
      <c r="Y33" s="12"/>
      <c r="Z33" s="12"/>
      <c r="AA33" s="12"/>
    </row>
    <row r="34" spans="1:27" ht="13.8" x14ac:dyDescent="0.25">
      <c r="A34" s="12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57"/>
      <c r="Q34" s="57"/>
      <c r="R34" s="57"/>
      <c r="S34" s="57"/>
      <c r="T34" s="57"/>
      <c r="U34" s="57"/>
      <c r="V34" s="57"/>
      <c r="W34" s="12"/>
      <c r="X34" s="12"/>
      <c r="Y34" s="12"/>
      <c r="Z34" s="12"/>
      <c r="AA34" s="12"/>
    </row>
    <row r="35" spans="1:27" ht="13.8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3.8" x14ac:dyDescent="0.25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3.8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3.8" x14ac:dyDescent="0.25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3.8" x14ac:dyDescent="0.25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3.8" x14ac:dyDescent="0.25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3.8" x14ac:dyDescent="0.25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3.8" x14ac:dyDescent="0.25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3.8" x14ac:dyDescent="0.25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3.8" x14ac:dyDescent="0.25">
      <c r="A44" s="1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3.8" x14ac:dyDescent="0.25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3.8" x14ac:dyDescent="0.25">
      <c r="A46" s="1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3.8" x14ac:dyDescent="0.25">
      <c r="A47" s="1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3.8" x14ac:dyDescent="0.25">
      <c r="A48" s="1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3.8" x14ac:dyDescent="0.25">
      <c r="A49" s="1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3.8" x14ac:dyDescent="0.25">
      <c r="A50" s="13" t="s">
        <v>100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3.8" x14ac:dyDescent="0.25">
      <c r="A51" s="357" t="s">
        <v>76</v>
      </c>
      <c r="B51" s="367">
        <v>2005</v>
      </c>
      <c r="C51" s="367">
        <v>2006</v>
      </c>
      <c r="D51" s="367">
        <v>2007</v>
      </c>
      <c r="E51" s="367">
        <v>2008</v>
      </c>
      <c r="F51" s="367">
        <v>2009</v>
      </c>
      <c r="G51" s="367">
        <v>2010</v>
      </c>
      <c r="H51" s="367">
        <v>2011</v>
      </c>
      <c r="I51" s="367">
        <v>2012</v>
      </c>
      <c r="J51" s="367">
        <v>2013</v>
      </c>
      <c r="K51" s="367">
        <v>2014</v>
      </c>
      <c r="L51" s="367">
        <v>2015</v>
      </c>
      <c r="M51" s="367">
        <v>2016</v>
      </c>
      <c r="N51" s="367">
        <v>2017</v>
      </c>
      <c r="O51" s="367">
        <v>2018</v>
      </c>
      <c r="P51" s="358">
        <v>2019</v>
      </c>
      <c r="Q51" s="359">
        <v>2020</v>
      </c>
      <c r="R51" s="359">
        <v>2021</v>
      </c>
      <c r="S51" s="359">
        <v>2022</v>
      </c>
      <c r="T51" s="359">
        <v>2023</v>
      </c>
      <c r="U51" s="359">
        <v>2024</v>
      </c>
      <c r="V51" s="359">
        <v>2025</v>
      </c>
      <c r="W51" s="12"/>
      <c r="X51" s="12"/>
      <c r="Y51" s="12"/>
      <c r="Z51" s="12"/>
      <c r="AA51" s="12"/>
    </row>
    <row r="52" spans="1:27" ht="13.8" x14ac:dyDescent="0.25">
      <c r="A52" s="48" t="s">
        <v>79</v>
      </c>
      <c r="B52" s="53">
        <v>2.1</v>
      </c>
      <c r="C52" s="53">
        <v>2.6</v>
      </c>
      <c r="D52" s="53">
        <v>2.1</v>
      </c>
      <c r="E52" s="53">
        <v>2.1</v>
      </c>
      <c r="F52" s="53">
        <v>2.2000000000000002</v>
      </c>
      <c r="G52" s="53">
        <v>2</v>
      </c>
      <c r="H52" s="53">
        <v>2</v>
      </c>
      <c r="I52" s="53">
        <v>1.8</v>
      </c>
      <c r="J52" s="53">
        <v>2</v>
      </c>
      <c r="K52" s="53">
        <v>1.8</v>
      </c>
      <c r="L52" s="53">
        <v>1.7</v>
      </c>
      <c r="M52" s="53">
        <v>2.4</v>
      </c>
      <c r="N52" s="53">
        <v>2.2000000000000002</v>
      </c>
      <c r="O52" s="53">
        <v>2.1</v>
      </c>
      <c r="P52" s="53">
        <v>1.7</v>
      </c>
      <c r="Q52" s="53">
        <v>1.8</v>
      </c>
      <c r="R52" s="53">
        <v>1.8</v>
      </c>
      <c r="S52" s="53">
        <v>1.8</v>
      </c>
      <c r="T52" s="53">
        <v>2.2000000000000002</v>
      </c>
      <c r="U52" s="53">
        <v>2.2999999999999998</v>
      </c>
      <c r="V52" s="53">
        <v>2</v>
      </c>
      <c r="W52" s="12"/>
      <c r="X52" s="12"/>
      <c r="Y52" s="12"/>
      <c r="Z52" s="12"/>
      <c r="AA52" s="12"/>
    </row>
    <row r="53" spans="1:27" ht="13.8" x14ac:dyDescent="0.25">
      <c r="A53" s="48" t="s">
        <v>80</v>
      </c>
      <c r="B53" s="54">
        <v>0.2</v>
      </c>
      <c r="C53" s="54">
        <v>0.1</v>
      </c>
      <c r="D53" s="54">
        <v>0.1</v>
      </c>
      <c r="E53" s="54">
        <v>0.2</v>
      </c>
      <c r="F53" s="54">
        <v>0.2</v>
      </c>
      <c r="G53" s="54">
        <v>0.1</v>
      </c>
      <c r="H53" s="54">
        <v>0.2</v>
      </c>
      <c r="I53" s="54">
        <v>0.2</v>
      </c>
      <c r="J53" s="54">
        <v>0.2</v>
      </c>
      <c r="K53" s="54">
        <v>0.1</v>
      </c>
      <c r="L53" s="54">
        <v>0.1</v>
      </c>
      <c r="M53" s="54">
        <v>0.1</v>
      </c>
      <c r="N53" s="54">
        <v>0.1</v>
      </c>
      <c r="O53" s="54">
        <v>0.1</v>
      </c>
      <c r="P53" s="54">
        <v>0.1</v>
      </c>
      <c r="Q53" s="54">
        <v>0.1</v>
      </c>
      <c r="R53" s="54">
        <v>0.1</v>
      </c>
      <c r="S53" s="54">
        <v>0.1</v>
      </c>
      <c r="T53" s="54">
        <v>0.1</v>
      </c>
      <c r="U53" s="54">
        <v>0.1</v>
      </c>
      <c r="V53" s="54">
        <v>0.1</v>
      </c>
      <c r="W53" s="12"/>
      <c r="X53" s="12"/>
      <c r="Y53" s="12"/>
      <c r="Z53" s="12"/>
      <c r="AA53" s="12"/>
    </row>
    <row r="54" spans="1:27" ht="13.8" x14ac:dyDescent="0.25">
      <c r="A54" s="48" t="s">
        <v>82</v>
      </c>
      <c r="B54" s="54">
        <v>0.1</v>
      </c>
      <c r="C54" s="54">
        <v>0.1</v>
      </c>
      <c r="D54" s="54">
        <v>0.1</v>
      </c>
      <c r="E54" s="54">
        <v>0.1</v>
      </c>
      <c r="F54" s="54">
        <v>0.1</v>
      </c>
      <c r="G54" s="54">
        <v>0.1</v>
      </c>
      <c r="H54" s="54">
        <v>0.1</v>
      </c>
      <c r="I54" s="54">
        <v>0.1</v>
      </c>
      <c r="J54" s="54">
        <v>0.1</v>
      </c>
      <c r="K54" s="58" t="s">
        <v>101</v>
      </c>
      <c r="L54" s="58" t="s">
        <v>101</v>
      </c>
      <c r="M54" s="54">
        <v>0.1</v>
      </c>
      <c r="N54" s="58" t="s">
        <v>101</v>
      </c>
      <c r="O54" s="54">
        <v>0.1</v>
      </c>
      <c r="P54" s="54">
        <v>0.1</v>
      </c>
      <c r="Q54" s="58" t="s">
        <v>101</v>
      </c>
      <c r="R54" s="58" t="s">
        <v>101</v>
      </c>
      <c r="S54" s="54">
        <v>0.1</v>
      </c>
      <c r="T54" s="54">
        <v>0.1</v>
      </c>
      <c r="U54" s="54">
        <v>0.1</v>
      </c>
      <c r="V54" s="54">
        <v>0.1</v>
      </c>
      <c r="W54" s="12"/>
      <c r="X54" s="12"/>
      <c r="Y54" s="12"/>
      <c r="Z54" s="12"/>
      <c r="AA54" s="12"/>
    </row>
    <row r="55" spans="1:27" ht="13.8" x14ac:dyDescent="0.25">
      <c r="A55" s="48" t="s">
        <v>84</v>
      </c>
      <c r="B55" s="54">
        <v>0.1</v>
      </c>
      <c r="C55" s="54">
        <v>0.2</v>
      </c>
      <c r="D55" s="54">
        <v>0.1</v>
      </c>
      <c r="E55" s="54">
        <v>0.1</v>
      </c>
      <c r="F55" s="54">
        <v>0.1</v>
      </c>
      <c r="G55" s="54">
        <v>0.1</v>
      </c>
      <c r="H55" s="54">
        <v>0.1</v>
      </c>
      <c r="I55" s="54">
        <v>0.1</v>
      </c>
      <c r="J55" s="54">
        <v>0.1</v>
      </c>
      <c r="K55" s="58" t="s">
        <v>101</v>
      </c>
      <c r="L55" s="54">
        <v>0.1</v>
      </c>
      <c r="M55" s="54">
        <v>0.1</v>
      </c>
      <c r="N55" s="54">
        <v>0.1</v>
      </c>
      <c r="O55" s="54">
        <v>0.1</v>
      </c>
      <c r="P55" s="58" t="s">
        <v>101</v>
      </c>
      <c r="Q55" s="54">
        <v>0.1</v>
      </c>
      <c r="R55" s="54">
        <v>0.1</v>
      </c>
      <c r="S55" s="54">
        <v>0.2</v>
      </c>
      <c r="T55" s="54">
        <v>0.1</v>
      </c>
      <c r="U55" s="54">
        <v>0.1</v>
      </c>
      <c r="V55" s="54">
        <v>0.1</v>
      </c>
      <c r="W55" s="12"/>
      <c r="X55" s="12"/>
      <c r="Y55" s="12"/>
      <c r="Z55" s="12"/>
      <c r="AA55" s="12"/>
    </row>
    <row r="56" spans="1:27" ht="13.8" x14ac:dyDescent="0.25">
      <c r="A56" s="48" t="s">
        <v>81</v>
      </c>
      <c r="B56" s="54">
        <v>0.2</v>
      </c>
      <c r="C56" s="54">
        <v>0.2</v>
      </c>
      <c r="D56" s="54">
        <v>0.2</v>
      </c>
      <c r="E56" s="54">
        <v>0.2</v>
      </c>
      <c r="F56" s="54">
        <v>0.2</v>
      </c>
      <c r="G56" s="54">
        <v>0.2</v>
      </c>
      <c r="H56" s="54">
        <v>0.2</v>
      </c>
      <c r="I56" s="54">
        <v>0.2</v>
      </c>
      <c r="J56" s="54">
        <v>0.2</v>
      </c>
      <c r="K56" s="54">
        <v>0.2</v>
      </c>
      <c r="L56" s="54">
        <v>0.2</v>
      </c>
      <c r="M56" s="54">
        <v>0.2</v>
      </c>
      <c r="N56" s="54">
        <v>0.2</v>
      </c>
      <c r="O56" s="54">
        <v>0.2</v>
      </c>
      <c r="P56" s="54">
        <v>0.2</v>
      </c>
      <c r="Q56" s="54">
        <v>0.2</v>
      </c>
      <c r="R56" s="54">
        <v>0.3</v>
      </c>
      <c r="S56" s="54">
        <v>0.2</v>
      </c>
      <c r="T56" s="54">
        <v>0.2</v>
      </c>
      <c r="U56" s="54">
        <v>0.2</v>
      </c>
      <c r="V56" s="54">
        <v>0.2</v>
      </c>
      <c r="W56" s="12"/>
      <c r="X56" s="12"/>
      <c r="Y56" s="12"/>
      <c r="Z56" s="12"/>
      <c r="AA56" s="12"/>
    </row>
    <row r="57" spans="1:27" ht="13.8" x14ac:dyDescent="0.25">
      <c r="A57" s="48" t="s">
        <v>83</v>
      </c>
      <c r="B57" s="54">
        <v>0.4</v>
      </c>
      <c r="C57" s="54">
        <v>0.4</v>
      </c>
      <c r="D57" s="54">
        <v>0.4</v>
      </c>
      <c r="E57" s="54">
        <v>0.4</v>
      </c>
      <c r="F57" s="54">
        <v>0.4</v>
      </c>
      <c r="G57" s="54">
        <v>0.3</v>
      </c>
      <c r="H57" s="54">
        <v>0.3</v>
      </c>
      <c r="I57" s="54">
        <v>0.3</v>
      </c>
      <c r="J57" s="54">
        <v>0.3</v>
      </c>
      <c r="K57" s="54">
        <v>0.3</v>
      </c>
      <c r="L57" s="54">
        <v>0.2</v>
      </c>
      <c r="M57" s="54">
        <v>0.2</v>
      </c>
      <c r="N57" s="54">
        <v>0.2</v>
      </c>
      <c r="O57" s="54">
        <v>0.3</v>
      </c>
      <c r="P57" s="54">
        <v>0.3</v>
      </c>
      <c r="Q57" s="54">
        <v>0.2</v>
      </c>
      <c r="R57" s="54">
        <v>0.2</v>
      </c>
      <c r="S57" s="54">
        <v>0.3</v>
      </c>
      <c r="T57" s="54">
        <v>0.2</v>
      </c>
      <c r="U57" s="54">
        <v>0.3</v>
      </c>
      <c r="V57" s="54">
        <v>0.2</v>
      </c>
      <c r="W57" s="12"/>
      <c r="X57" s="12"/>
      <c r="Y57" s="12"/>
      <c r="Z57" s="12"/>
      <c r="AA57" s="12"/>
    </row>
    <row r="58" spans="1:27" ht="13.8" x14ac:dyDescent="0.25">
      <c r="A58" s="48" t="s">
        <v>85</v>
      </c>
      <c r="B58" s="54">
        <v>0.4</v>
      </c>
      <c r="C58" s="54">
        <v>0.4</v>
      </c>
      <c r="D58" s="54">
        <v>0.4</v>
      </c>
      <c r="E58" s="54">
        <v>0.4</v>
      </c>
      <c r="F58" s="54">
        <v>0.3</v>
      </c>
      <c r="G58" s="54">
        <v>0.3</v>
      </c>
      <c r="H58" s="54">
        <v>0.3</v>
      </c>
      <c r="I58" s="54">
        <v>0.3</v>
      </c>
      <c r="J58" s="54">
        <v>0.3</v>
      </c>
      <c r="K58" s="54">
        <v>0.2</v>
      </c>
      <c r="L58" s="54">
        <v>0.3</v>
      </c>
      <c r="M58" s="54">
        <v>0.3</v>
      </c>
      <c r="N58" s="54">
        <v>0.3</v>
      </c>
      <c r="O58" s="54">
        <v>0.3</v>
      </c>
      <c r="P58" s="54">
        <v>0.2</v>
      </c>
      <c r="Q58" s="54">
        <v>0.3</v>
      </c>
      <c r="R58" s="54">
        <v>0.3</v>
      </c>
      <c r="S58" s="54">
        <v>0.3</v>
      </c>
      <c r="T58" s="54">
        <v>0.3</v>
      </c>
      <c r="U58" s="54">
        <v>0.3</v>
      </c>
      <c r="V58" s="54">
        <v>0.3</v>
      </c>
      <c r="W58" s="12"/>
      <c r="X58" s="12"/>
      <c r="Y58" s="12"/>
      <c r="Z58" s="12"/>
      <c r="AA58" s="12"/>
    </row>
    <row r="59" spans="1:27" ht="13.8" x14ac:dyDescent="0.25">
      <c r="A59" s="48" t="s">
        <v>86</v>
      </c>
      <c r="B59" s="54">
        <v>0.5</v>
      </c>
      <c r="C59" s="54">
        <v>0.5</v>
      </c>
      <c r="D59" s="54">
        <v>0.4</v>
      </c>
      <c r="E59" s="54">
        <v>0.4</v>
      </c>
      <c r="F59" s="54">
        <v>0.4</v>
      </c>
      <c r="G59" s="54">
        <v>0.3</v>
      </c>
      <c r="H59" s="54">
        <v>0.4</v>
      </c>
      <c r="I59" s="54">
        <v>0.4</v>
      </c>
      <c r="J59" s="54">
        <v>0.4</v>
      </c>
      <c r="K59" s="54">
        <v>0.4</v>
      </c>
      <c r="L59" s="54">
        <v>0.4</v>
      </c>
      <c r="M59" s="54">
        <v>0.3</v>
      </c>
      <c r="N59" s="54">
        <v>0.4</v>
      </c>
      <c r="O59" s="54">
        <v>0.4</v>
      </c>
      <c r="P59" s="54">
        <v>0.4</v>
      </c>
      <c r="Q59" s="54">
        <v>0.3</v>
      </c>
      <c r="R59" s="54">
        <v>0.3</v>
      </c>
      <c r="S59" s="54">
        <v>0.4</v>
      </c>
      <c r="T59" s="54">
        <v>0.3</v>
      </c>
      <c r="U59" s="54">
        <v>0.4</v>
      </c>
      <c r="V59" s="54">
        <v>0.4</v>
      </c>
      <c r="W59" s="12"/>
      <c r="X59" s="12"/>
      <c r="Y59" s="12"/>
      <c r="Z59" s="12"/>
      <c r="AA59" s="12"/>
    </row>
    <row r="60" spans="1:27" ht="13.8" x14ac:dyDescent="0.25">
      <c r="A60" s="48" t="s">
        <v>87</v>
      </c>
      <c r="B60" s="54">
        <v>0.8</v>
      </c>
      <c r="C60" s="54">
        <v>0.7</v>
      </c>
      <c r="D60" s="54">
        <v>0.6</v>
      </c>
      <c r="E60" s="54">
        <v>0.7</v>
      </c>
      <c r="F60" s="54">
        <v>0.6</v>
      </c>
      <c r="G60" s="54">
        <v>0.6</v>
      </c>
      <c r="H60" s="54">
        <v>0.5</v>
      </c>
      <c r="I60" s="54">
        <v>0.6</v>
      </c>
      <c r="J60" s="54">
        <v>0.5</v>
      </c>
      <c r="K60" s="54">
        <v>0.5</v>
      </c>
      <c r="L60" s="54">
        <v>0.5</v>
      </c>
      <c r="M60" s="54">
        <v>0.5</v>
      </c>
      <c r="N60" s="54">
        <v>0.5</v>
      </c>
      <c r="O60" s="54">
        <v>0.5</v>
      </c>
      <c r="P60" s="54">
        <v>0.5</v>
      </c>
      <c r="Q60" s="54">
        <v>0.5</v>
      </c>
      <c r="R60" s="54">
        <v>0.5</v>
      </c>
      <c r="S60" s="54">
        <v>0.6</v>
      </c>
      <c r="T60" s="54">
        <v>0.5</v>
      </c>
      <c r="U60" s="54">
        <v>0.5</v>
      </c>
      <c r="V60" s="54">
        <v>0.5</v>
      </c>
      <c r="W60" s="12"/>
      <c r="X60" s="12"/>
      <c r="Y60" s="12"/>
      <c r="Z60" s="12"/>
      <c r="AA60" s="12"/>
    </row>
    <row r="61" spans="1:27" ht="13.8" x14ac:dyDescent="0.25">
      <c r="A61" s="48" t="s">
        <v>88</v>
      </c>
      <c r="B61" s="54">
        <v>1.2</v>
      </c>
      <c r="C61" s="54">
        <v>1.3</v>
      </c>
      <c r="D61" s="54">
        <v>1.2</v>
      </c>
      <c r="E61" s="54">
        <v>1.2</v>
      </c>
      <c r="F61" s="54">
        <v>0.9</v>
      </c>
      <c r="G61" s="54">
        <v>1</v>
      </c>
      <c r="H61" s="54">
        <v>0.9</v>
      </c>
      <c r="I61" s="54">
        <v>0.9</v>
      </c>
      <c r="J61" s="54">
        <v>0.9</v>
      </c>
      <c r="K61" s="54">
        <v>0.9</v>
      </c>
      <c r="L61" s="54">
        <v>0.9</v>
      </c>
      <c r="M61" s="54">
        <v>0.9</v>
      </c>
      <c r="N61" s="54">
        <v>0.8</v>
      </c>
      <c r="O61" s="54">
        <v>0.7</v>
      </c>
      <c r="P61" s="54">
        <v>0.8</v>
      </c>
      <c r="Q61" s="54">
        <v>0.8</v>
      </c>
      <c r="R61" s="54">
        <v>0.8</v>
      </c>
      <c r="S61" s="54">
        <v>0.8</v>
      </c>
      <c r="T61" s="54">
        <v>0.8</v>
      </c>
      <c r="U61" s="54">
        <v>0.8</v>
      </c>
      <c r="V61" s="54">
        <v>0.8</v>
      </c>
      <c r="W61" s="12"/>
      <c r="X61" s="12"/>
      <c r="Y61" s="12"/>
      <c r="Z61" s="12"/>
      <c r="AA61" s="12"/>
    </row>
    <row r="62" spans="1:27" ht="13.8" x14ac:dyDescent="0.25">
      <c r="A62" s="48" t="s">
        <v>89</v>
      </c>
      <c r="B62" s="54">
        <v>1.9</v>
      </c>
      <c r="C62" s="54">
        <v>1.9</v>
      </c>
      <c r="D62" s="54">
        <v>1.9</v>
      </c>
      <c r="E62" s="54">
        <v>1.8</v>
      </c>
      <c r="F62" s="54">
        <v>1.6</v>
      </c>
      <c r="G62" s="54">
        <v>1.7</v>
      </c>
      <c r="H62" s="54">
        <v>1.7</v>
      </c>
      <c r="I62" s="54">
        <v>1.6</v>
      </c>
      <c r="J62" s="54">
        <v>1.5</v>
      </c>
      <c r="K62" s="54">
        <v>1.5</v>
      </c>
      <c r="L62" s="54">
        <v>1.5</v>
      </c>
      <c r="M62" s="54">
        <v>1.4</v>
      </c>
      <c r="N62" s="54">
        <v>1.4</v>
      </c>
      <c r="O62" s="54">
        <v>1.4</v>
      </c>
      <c r="P62" s="54">
        <v>1.3</v>
      </c>
      <c r="Q62" s="54">
        <v>1.3</v>
      </c>
      <c r="R62" s="54">
        <v>1.5</v>
      </c>
      <c r="S62" s="54">
        <v>1.4</v>
      </c>
      <c r="T62" s="54">
        <v>1.3</v>
      </c>
      <c r="U62" s="54">
        <v>1.3</v>
      </c>
      <c r="V62" s="54">
        <v>1.2</v>
      </c>
      <c r="W62" s="12"/>
      <c r="X62" s="12"/>
      <c r="Y62" s="12"/>
      <c r="Z62" s="12"/>
      <c r="AA62" s="12"/>
    </row>
    <row r="63" spans="1:27" ht="13.8" x14ac:dyDescent="0.25">
      <c r="A63" s="48" t="s">
        <v>91</v>
      </c>
      <c r="B63" s="54">
        <v>3.5</v>
      </c>
      <c r="C63" s="54">
        <v>3.2</v>
      </c>
      <c r="D63" s="54">
        <v>3.1</v>
      </c>
      <c r="E63" s="54">
        <v>3.2</v>
      </c>
      <c r="F63" s="54">
        <v>3</v>
      </c>
      <c r="G63" s="54">
        <v>3</v>
      </c>
      <c r="H63" s="54">
        <v>2.8</v>
      </c>
      <c r="I63" s="54">
        <v>2.5</v>
      </c>
      <c r="J63" s="54">
        <v>2.7</v>
      </c>
      <c r="K63" s="54">
        <v>2.5</v>
      </c>
      <c r="L63" s="54">
        <v>2.5</v>
      </c>
      <c r="M63" s="54">
        <v>2.4</v>
      </c>
      <c r="N63" s="54">
        <v>2.6</v>
      </c>
      <c r="O63" s="54">
        <v>2.2999999999999998</v>
      </c>
      <c r="P63" s="54">
        <v>2.1</v>
      </c>
      <c r="Q63" s="54">
        <v>2.2000000000000002</v>
      </c>
      <c r="R63" s="54">
        <v>2.2999999999999998</v>
      </c>
      <c r="S63" s="54">
        <v>2.2999999999999998</v>
      </c>
      <c r="T63" s="54">
        <v>2.2000000000000002</v>
      </c>
      <c r="U63" s="54">
        <v>2.2000000000000002</v>
      </c>
      <c r="V63" s="54">
        <v>2.1</v>
      </c>
      <c r="W63" s="12"/>
      <c r="X63" s="12"/>
      <c r="Y63" s="12"/>
      <c r="Z63" s="12"/>
      <c r="AA63" s="12"/>
    </row>
    <row r="64" spans="1:27" ht="13.8" x14ac:dyDescent="0.25">
      <c r="A64" s="48" t="s">
        <v>92</v>
      </c>
      <c r="B64" s="54">
        <v>5.7</v>
      </c>
      <c r="C64" s="54">
        <v>5.3</v>
      </c>
      <c r="D64" s="54">
        <v>5.0999999999999996</v>
      </c>
      <c r="E64" s="54">
        <v>5.0999999999999996</v>
      </c>
      <c r="F64" s="54">
        <v>4.7</v>
      </c>
      <c r="G64" s="54">
        <v>4.5</v>
      </c>
      <c r="H64" s="54">
        <v>4.4000000000000004</v>
      </c>
      <c r="I64" s="54">
        <v>4.5999999999999996</v>
      </c>
      <c r="J64" s="54">
        <v>4.3</v>
      </c>
      <c r="K64" s="54">
        <v>4.5</v>
      </c>
      <c r="L64" s="54">
        <v>4.2</v>
      </c>
      <c r="M64" s="54">
        <v>4.0999999999999996</v>
      </c>
      <c r="N64" s="54">
        <v>3.9</v>
      </c>
      <c r="O64" s="54">
        <v>3.9</v>
      </c>
      <c r="P64" s="54">
        <v>3.7</v>
      </c>
      <c r="Q64" s="54">
        <v>3.7</v>
      </c>
      <c r="R64" s="54">
        <v>3.8</v>
      </c>
      <c r="S64" s="54">
        <v>3.6</v>
      </c>
      <c r="T64" s="54">
        <v>3.7</v>
      </c>
      <c r="U64" s="54">
        <v>3.5</v>
      </c>
      <c r="V64" s="54">
        <v>3.3</v>
      </c>
      <c r="W64" s="12"/>
      <c r="X64" s="12"/>
      <c r="Y64" s="12"/>
      <c r="Z64" s="12"/>
      <c r="AA64" s="12"/>
    </row>
    <row r="65" spans="1:27" ht="13.8" x14ac:dyDescent="0.25">
      <c r="A65" s="48" t="s">
        <v>93</v>
      </c>
      <c r="B65" s="54">
        <v>9.3000000000000007</v>
      </c>
      <c r="C65" s="54">
        <v>9</v>
      </c>
      <c r="D65" s="54">
        <v>8.5</v>
      </c>
      <c r="E65" s="54">
        <v>8.1</v>
      </c>
      <c r="F65" s="54">
        <v>7.4</v>
      </c>
      <c r="G65" s="54">
        <v>7.3</v>
      </c>
      <c r="H65" s="54">
        <v>7</v>
      </c>
      <c r="I65" s="54">
        <v>7.3</v>
      </c>
      <c r="J65" s="54">
        <v>7</v>
      </c>
      <c r="K65" s="54">
        <v>6.4</v>
      </c>
      <c r="L65" s="54">
        <v>6.5</v>
      </c>
      <c r="M65" s="54">
        <v>6.2</v>
      </c>
      <c r="N65" s="54">
        <v>6.3</v>
      </c>
      <c r="O65" s="54">
        <v>6.3</v>
      </c>
      <c r="P65" s="54">
        <v>5.9</v>
      </c>
      <c r="Q65" s="54">
        <v>5.9</v>
      </c>
      <c r="R65" s="54">
        <v>6.4</v>
      </c>
      <c r="S65" s="54">
        <v>6.3</v>
      </c>
      <c r="T65" s="54">
        <v>6</v>
      </c>
      <c r="U65" s="54">
        <v>5.7</v>
      </c>
      <c r="V65" s="54">
        <v>5.4</v>
      </c>
      <c r="W65" s="12"/>
      <c r="X65" s="12"/>
      <c r="Y65" s="12"/>
      <c r="Z65" s="12"/>
      <c r="AA65" s="12"/>
    </row>
    <row r="66" spans="1:27" ht="13.8" x14ac:dyDescent="0.25">
      <c r="A66" s="48" t="s">
        <v>94</v>
      </c>
      <c r="B66" s="54">
        <v>16</v>
      </c>
      <c r="C66" s="54">
        <v>14.1</v>
      </c>
      <c r="D66" s="54">
        <v>14.1</v>
      </c>
      <c r="E66" s="54">
        <v>13.9</v>
      </c>
      <c r="F66" s="54">
        <v>12.8</v>
      </c>
      <c r="G66" s="54">
        <v>12.5</v>
      </c>
      <c r="H66" s="54">
        <v>12.6</v>
      </c>
      <c r="I66" s="54">
        <v>11.9</v>
      </c>
      <c r="J66" s="54">
        <v>11</v>
      </c>
      <c r="K66" s="54">
        <v>10.6</v>
      </c>
      <c r="L66" s="54">
        <v>10.4</v>
      </c>
      <c r="M66" s="54">
        <v>10.1</v>
      </c>
      <c r="N66" s="54">
        <v>9.9</v>
      </c>
      <c r="O66" s="54">
        <v>9.5</v>
      </c>
      <c r="P66" s="54">
        <v>9</v>
      </c>
      <c r="Q66" s="54">
        <v>9.1999999999999993</v>
      </c>
      <c r="R66" s="54">
        <v>9.6999999999999993</v>
      </c>
      <c r="S66" s="54">
        <v>10</v>
      </c>
      <c r="T66" s="54">
        <v>9.8000000000000007</v>
      </c>
      <c r="U66" s="54">
        <v>9.5</v>
      </c>
      <c r="V66" s="54">
        <v>9.1</v>
      </c>
      <c r="W66" s="12"/>
      <c r="X66" s="12"/>
      <c r="Y66" s="12"/>
      <c r="Z66" s="12"/>
      <c r="AA66" s="12"/>
    </row>
    <row r="67" spans="1:27" ht="13.8" x14ac:dyDescent="0.25">
      <c r="A67" s="48" t="s">
        <v>95</v>
      </c>
      <c r="B67" s="54">
        <v>24.8</v>
      </c>
      <c r="C67" s="54">
        <v>23.6</v>
      </c>
      <c r="D67" s="54">
        <v>25.9</v>
      </c>
      <c r="E67" s="54">
        <v>24.1</v>
      </c>
      <c r="F67" s="54">
        <v>21.7</v>
      </c>
      <c r="G67" s="54">
        <v>20.7</v>
      </c>
      <c r="H67" s="54">
        <v>19.899999999999999</v>
      </c>
      <c r="I67" s="54">
        <v>20</v>
      </c>
      <c r="J67" s="54">
        <v>19.600000000000001</v>
      </c>
      <c r="K67" s="54">
        <v>18.5</v>
      </c>
      <c r="L67" s="54">
        <v>18.2</v>
      </c>
      <c r="M67" s="54">
        <v>16.7</v>
      </c>
      <c r="N67" s="54">
        <v>16.899999999999999</v>
      </c>
      <c r="O67" s="54">
        <v>16.5</v>
      </c>
      <c r="P67" s="54">
        <v>15.3</v>
      </c>
      <c r="Q67" s="54">
        <v>15.1</v>
      </c>
      <c r="R67" s="54">
        <v>15.8</v>
      </c>
      <c r="S67" s="54">
        <v>16.2</v>
      </c>
      <c r="T67" s="54">
        <v>15.4</v>
      </c>
      <c r="U67" s="54">
        <v>14.9</v>
      </c>
      <c r="V67" s="54">
        <v>14.4</v>
      </c>
      <c r="W67" s="12"/>
      <c r="X67" s="12"/>
      <c r="Y67" s="12"/>
      <c r="Z67" s="12"/>
      <c r="AA67" s="12"/>
    </row>
    <row r="68" spans="1:27" ht="13.8" x14ac:dyDescent="0.25">
      <c r="A68" s="48" t="s">
        <v>96</v>
      </c>
      <c r="B68" s="54">
        <v>40.9</v>
      </c>
      <c r="C68" s="54">
        <v>42.5</v>
      </c>
      <c r="D68" s="54">
        <v>41</v>
      </c>
      <c r="E68" s="54">
        <v>39.1</v>
      </c>
      <c r="F68" s="54">
        <v>37.4</v>
      </c>
      <c r="G68" s="54">
        <v>34.9</v>
      </c>
      <c r="H68" s="54">
        <v>37</v>
      </c>
      <c r="I68" s="54">
        <v>33.299999999999997</v>
      </c>
      <c r="J68" s="54">
        <v>33.799999999999997</v>
      </c>
      <c r="K68" s="54">
        <v>32.6</v>
      </c>
      <c r="L68" s="54">
        <v>31.8</v>
      </c>
      <c r="M68" s="54">
        <v>30.1</v>
      </c>
      <c r="N68" s="54">
        <v>28.9</v>
      </c>
      <c r="O68" s="54">
        <v>28.3</v>
      </c>
      <c r="P68" s="54">
        <v>27.2</v>
      </c>
      <c r="Q68" s="54">
        <v>26.1</v>
      </c>
      <c r="R68" s="54">
        <v>28.2</v>
      </c>
      <c r="S68" s="54">
        <v>28.8</v>
      </c>
      <c r="T68" s="54">
        <v>26.9</v>
      </c>
      <c r="U68" s="54">
        <v>25</v>
      </c>
      <c r="V68" s="54">
        <v>24.4</v>
      </c>
      <c r="W68" s="12"/>
      <c r="X68" s="12"/>
      <c r="Y68" s="12"/>
      <c r="Z68" s="12"/>
      <c r="AA68" s="12"/>
    </row>
    <row r="69" spans="1:27" ht="13.8" x14ac:dyDescent="0.25">
      <c r="A69" s="48" t="s">
        <v>97</v>
      </c>
      <c r="B69" s="54">
        <v>70.7</v>
      </c>
      <c r="C69" s="54">
        <v>66.8</v>
      </c>
      <c r="D69" s="54">
        <v>67.7</v>
      </c>
      <c r="E69" s="54">
        <v>63</v>
      </c>
      <c r="F69" s="54">
        <v>58.3</v>
      </c>
      <c r="G69" s="54">
        <v>60.4</v>
      </c>
      <c r="H69" s="54">
        <v>57.4</v>
      </c>
      <c r="I69" s="54">
        <v>55.7</v>
      </c>
      <c r="J69" s="54">
        <v>55.7</v>
      </c>
      <c r="K69" s="54">
        <v>56.3</v>
      </c>
      <c r="L69" s="54">
        <v>51.6</v>
      </c>
      <c r="M69" s="54">
        <v>53</v>
      </c>
      <c r="N69" s="54">
        <v>53.7</v>
      </c>
      <c r="O69" s="54">
        <v>51.4</v>
      </c>
      <c r="P69" s="54">
        <v>49.2</v>
      </c>
      <c r="Q69" s="54">
        <v>49.1</v>
      </c>
      <c r="R69" s="54">
        <v>49.8</v>
      </c>
      <c r="S69" s="54">
        <v>54.2</v>
      </c>
      <c r="T69" s="54">
        <v>51.7</v>
      </c>
      <c r="U69" s="54">
        <v>48.7</v>
      </c>
      <c r="V69" s="54">
        <v>45.5</v>
      </c>
      <c r="W69" s="12"/>
      <c r="X69" s="12"/>
      <c r="Y69" s="12"/>
      <c r="Z69" s="12"/>
      <c r="AA69" s="12"/>
    </row>
    <row r="70" spans="1:27" ht="13.8" x14ac:dyDescent="0.25">
      <c r="A70" s="55" t="s">
        <v>98</v>
      </c>
      <c r="B70" s="54">
        <v>106.1</v>
      </c>
      <c r="C70" s="54">
        <v>103.6</v>
      </c>
      <c r="D70" s="54">
        <v>106.1</v>
      </c>
      <c r="E70" s="54">
        <v>98.7</v>
      </c>
      <c r="F70" s="54">
        <v>97.6</v>
      </c>
      <c r="G70" s="54">
        <v>97.1</v>
      </c>
      <c r="H70" s="54">
        <v>92.4</v>
      </c>
      <c r="I70" s="54">
        <v>93.3</v>
      </c>
      <c r="J70" s="54">
        <v>89.7</v>
      </c>
      <c r="K70" s="54">
        <v>90.1</v>
      </c>
      <c r="L70" s="54">
        <v>89.7</v>
      </c>
      <c r="M70" s="54">
        <v>87.2</v>
      </c>
      <c r="N70" s="54">
        <v>90.6</v>
      </c>
      <c r="O70" s="54">
        <v>84.6</v>
      </c>
      <c r="P70" s="54">
        <v>84.5</v>
      </c>
      <c r="Q70" s="54">
        <v>83.7</v>
      </c>
      <c r="R70" s="54">
        <v>93.4</v>
      </c>
      <c r="S70" s="54">
        <v>101.1</v>
      </c>
      <c r="T70" s="54">
        <v>96.3</v>
      </c>
      <c r="U70" s="54">
        <v>85.5</v>
      </c>
      <c r="V70" s="54">
        <v>83.2</v>
      </c>
      <c r="W70" s="12"/>
      <c r="X70" s="12"/>
      <c r="Y70" s="12"/>
      <c r="Z70" s="12"/>
      <c r="AA70" s="12"/>
    </row>
    <row r="71" spans="1:27" ht="13.8" x14ac:dyDescent="0.25">
      <c r="A71" s="48" t="s">
        <v>99</v>
      </c>
      <c r="B71" s="54">
        <v>163.30000000000001</v>
      </c>
      <c r="C71" s="54">
        <v>162.69999999999999</v>
      </c>
      <c r="D71" s="54">
        <v>159.19999999999999</v>
      </c>
      <c r="E71" s="54">
        <v>157.6</v>
      </c>
      <c r="F71" s="54">
        <v>159.19999999999999</v>
      </c>
      <c r="G71" s="54">
        <v>163.6</v>
      </c>
      <c r="H71" s="54">
        <v>158.19999999999999</v>
      </c>
      <c r="I71" s="54">
        <v>157.19999999999999</v>
      </c>
      <c r="J71" s="54">
        <v>164.7</v>
      </c>
      <c r="K71" s="54">
        <v>163.4</v>
      </c>
      <c r="L71" s="54">
        <v>160.4</v>
      </c>
      <c r="M71" s="54">
        <v>148.5</v>
      </c>
      <c r="N71" s="54">
        <v>151.80000000000001</v>
      </c>
      <c r="O71" s="54">
        <v>155.1</v>
      </c>
      <c r="P71" s="54">
        <v>149.5</v>
      </c>
      <c r="Q71" s="54">
        <v>143.80000000000001</v>
      </c>
      <c r="R71" s="54">
        <v>165.3</v>
      </c>
      <c r="S71" s="54">
        <v>185</v>
      </c>
      <c r="T71" s="54">
        <v>177.3</v>
      </c>
      <c r="U71" s="54">
        <v>160.80000000000001</v>
      </c>
      <c r="V71" s="54">
        <v>154.6</v>
      </c>
      <c r="W71" s="12"/>
      <c r="X71" s="12"/>
      <c r="Y71" s="12"/>
      <c r="Z71" s="12"/>
      <c r="AA71" s="12"/>
    </row>
    <row r="72" spans="1:27" ht="14.2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3.8" x14ac:dyDescent="0.25">
      <c r="A73" s="13" t="s">
        <v>102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3.8" x14ac:dyDescent="0.25">
      <c r="A74" s="357" t="s">
        <v>76</v>
      </c>
      <c r="B74" s="367">
        <v>2005</v>
      </c>
      <c r="C74" s="367">
        <v>2006</v>
      </c>
      <c r="D74" s="367">
        <v>2007</v>
      </c>
      <c r="E74" s="367">
        <v>2008</v>
      </c>
      <c r="F74" s="367">
        <v>2009</v>
      </c>
      <c r="G74" s="367">
        <v>2010</v>
      </c>
      <c r="H74" s="367">
        <v>2011</v>
      </c>
      <c r="I74" s="367">
        <v>2012</v>
      </c>
      <c r="J74" s="367">
        <v>2013</v>
      </c>
      <c r="K74" s="367">
        <v>2014</v>
      </c>
      <c r="L74" s="367">
        <v>2015</v>
      </c>
      <c r="M74" s="367">
        <v>2016</v>
      </c>
      <c r="N74" s="367">
        <v>2017</v>
      </c>
      <c r="O74" s="367">
        <v>2018</v>
      </c>
      <c r="P74" s="358">
        <v>2019</v>
      </c>
      <c r="Q74" s="359">
        <v>2020</v>
      </c>
      <c r="R74" s="359">
        <v>2021</v>
      </c>
      <c r="S74" s="359">
        <v>2022</v>
      </c>
      <c r="T74" s="359">
        <v>2023</v>
      </c>
      <c r="U74" s="359">
        <v>2024</v>
      </c>
      <c r="V74" s="359">
        <v>2025</v>
      </c>
      <c r="W74" s="12"/>
      <c r="X74" s="12"/>
      <c r="Y74" s="12"/>
      <c r="Z74" s="12"/>
      <c r="AA74" s="12"/>
    </row>
    <row r="75" spans="1:27" ht="13.8" x14ac:dyDescent="0.25">
      <c r="A75" s="48" t="s">
        <v>79</v>
      </c>
      <c r="B75" s="59">
        <v>35003</v>
      </c>
      <c r="C75" s="59">
        <v>35563</v>
      </c>
      <c r="D75" s="59">
        <v>35770</v>
      </c>
      <c r="E75" s="59">
        <v>37444</v>
      </c>
      <c r="F75" s="59">
        <v>35145</v>
      </c>
      <c r="G75" s="59">
        <v>32788</v>
      </c>
      <c r="H75" s="59">
        <v>31172</v>
      </c>
      <c r="I75" s="59">
        <v>33237</v>
      </c>
      <c r="J75" s="59">
        <v>33912</v>
      </c>
      <c r="K75" s="59">
        <v>32782</v>
      </c>
      <c r="L75" s="59">
        <v>34559</v>
      </c>
      <c r="M75" s="59">
        <v>34640</v>
      </c>
      <c r="N75" s="59">
        <v>33374</v>
      </c>
      <c r="O75" s="59">
        <v>32664</v>
      </c>
      <c r="P75" s="60">
        <v>32967</v>
      </c>
      <c r="Q75" s="60">
        <v>33434</v>
      </c>
      <c r="R75" s="60">
        <v>31611</v>
      </c>
      <c r="S75" s="60">
        <v>32073</v>
      </c>
      <c r="T75" s="60">
        <v>30052</v>
      </c>
      <c r="U75" s="60">
        <v>29246</v>
      </c>
      <c r="V75" s="60">
        <v>29422</v>
      </c>
      <c r="W75" s="12"/>
      <c r="X75" s="12"/>
      <c r="Y75" s="12"/>
      <c r="Z75" s="12"/>
      <c r="AA75" s="12"/>
    </row>
    <row r="76" spans="1:27" ht="13.8" x14ac:dyDescent="0.25">
      <c r="A76" s="48" t="s">
        <v>80</v>
      </c>
      <c r="B76" s="60">
        <v>164526</v>
      </c>
      <c r="C76" s="60">
        <v>158916</v>
      </c>
      <c r="D76" s="60">
        <v>157856</v>
      </c>
      <c r="E76" s="60">
        <v>156445</v>
      </c>
      <c r="F76" s="60">
        <v>162643</v>
      </c>
      <c r="G76" s="60">
        <v>161644</v>
      </c>
      <c r="H76" s="60">
        <v>157077</v>
      </c>
      <c r="I76" s="60">
        <v>153436</v>
      </c>
      <c r="J76" s="60">
        <v>149383</v>
      </c>
      <c r="K76" s="60">
        <v>148587</v>
      </c>
      <c r="L76" s="60">
        <v>149016</v>
      </c>
      <c r="M76" s="60">
        <v>152520</v>
      </c>
      <c r="N76" s="60">
        <v>154279</v>
      </c>
      <c r="O76" s="60">
        <v>152864</v>
      </c>
      <c r="P76" s="60">
        <v>152388</v>
      </c>
      <c r="Q76" s="60">
        <v>149642</v>
      </c>
      <c r="R76" s="60">
        <v>146824</v>
      </c>
      <c r="S76" s="60">
        <v>146012</v>
      </c>
      <c r="T76" s="60">
        <v>145216</v>
      </c>
      <c r="U76" s="60">
        <v>141250</v>
      </c>
      <c r="V76" s="60">
        <v>136128</v>
      </c>
      <c r="W76" s="12"/>
      <c r="X76" s="12"/>
      <c r="Y76" s="12"/>
      <c r="Z76" s="12"/>
      <c r="AA76" s="12"/>
    </row>
    <row r="77" spans="1:27" ht="13.8" x14ac:dyDescent="0.25">
      <c r="A77" s="48" t="s">
        <v>82</v>
      </c>
      <c r="B77" s="60">
        <v>237237</v>
      </c>
      <c r="C77" s="60">
        <v>235204</v>
      </c>
      <c r="D77" s="60">
        <v>229541</v>
      </c>
      <c r="E77" s="60">
        <v>223622</v>
      </c>
      <c r="F77" s="60">
        <v>221435</v>
      </c>
      <c r="G77" s="60">
        <v>215675</v>
      </c>
      <c r="H77" s="60">
        <v>208119</v>
      </c>
      <c r="I77" s="60">
        <v>206324</v>
      </c>
      <c r="J77" s="60">
        <v>205704</v>
      </c>
      <c r="K77" s="60">
        <v>205790</v>
      </c>
      <c r="L77" s="60">
        <v>204452</v>
      </c>
      <c r="M77" s="60">
        <v>201509</v>
      </c>
      <c r="N77" s="60">
        <v>200575</v>
      </c>
      <c r="O77" s="60">
        <v>199066</v>
      </c>
      <c r="P77" s="60">
        <v>197775</v>
      </c>
      <c r="Q77" s="60">
        <v>198737</v>
      </c>
      <c r="R77" s="60">
        <v>198760</v>
      </c>
      <c r="S77" s="60">
        <v>201360</v>
      </c>
      <c r="T77" s="60">
        <v>201974</v>
      </c>
      <c r="U77" s="60">
        <v>202082</v>
      </c>
      <c r="V77" s="60">
        <v>199813</v>
      </c>
      <c r="W77" s="12"/>
      <c r="X77" s="12"/>
      <c r="Y77" s="12"/>
      <c r="Z77" s="12"/>
      <c r="AA77" s="12"/>
    </row>
    <row r="78" spans="1:27" ht="13.8" x14ac:dyDescent="0.25">
      <c r="A78" s="48" t="s">
        <v>84</v>
      </c>
      <c r="B78" s="60">
        <v>258553</v>
      </c>
      <c r="C78" s="60">
        <v>256482</v>
      </c>
      <c r="D78" s="60">
        <v>255292</v>
      </c>
      <c r="E78" s="60">
        <v>253796</v>
      </c>
      <c r="F78" s="60">
        <v>248628</v>
      </c>
      <c r="G78" s="60">
        <v>244302</v>
      </c>
      <c r="H78" s="60">
        <v>240536</v>
      </c>
      <c r="I78" s="60">
        <v>233320</v>
      </c>
      <c r="J78" s="60">
        <v>226244</v>
      </c>
      <c r="K78" s="60">
        <v>220796</v>
      </c>
      <c r="L78" s="60">
        <v>214388</v>
      </c>
      <c r="M78" s="60">
        <v>207495</v>
      </c>
      <c r="N78" s="60">
        <v>206253</v>
      </c>
      <c r="O78" s="60">
        <v>206530</v>
      </c>
      <c r="P78" s="60">
        <v>207926</v>
      </c>
      <c r="Q78" s="60">
        <v>206393</v>
      </c>
      <c r="R78" s="60">
        <v>199993</v>
      </c>
      <c r="S78" s="60">
        <v>202379</v>
      </c>
      <c r="T78" s="60">
        <v>204459</v>
      </c>
      <c r="U78" s="60">
        <v>204391</v>
      </c>
      <c r="V78" s="60">
        <v>206577</v>
      </c>
      <c r="W78" s="12"/>
      <c r="X78" s="12"/>
      <c r="Y78" s="12"/>
      <c r="Z78" s="12"/>
      <c r="AA78" s="12"/>
    </row>
    <row r="79" spans="1:27" ht="13.8" x14ac:dyDescent="0.25">
      <c r="A79" s="48" t="s">
        <v>81</v>
      </c>
      <c r="B79" s="60">
        <v>234921</v>
      </c>
      <c r="C79" s="60">
        <v>246547</v>
      </c>
      <c r="D79" s="60">
        <v>257298</v>
      </c>
      <c r="E79" s="60">
        <v>262856</v>
      </c>
      <c r="F79" s="60">
        <v>262775</v>
      </c>
      <c r="G79" s="60">
        <v>263750</v>
      </c>
      <c r="H79" s="60">
        <v>260738</v>
      </c>
      <c r="I79" s="60">
        <v>258861</v>
      </c>
      <c r="J79" s="60">
        <v>255066</v>
      </c>
      <c r="K79" s="60">
        <v>247337</v>
      </c>
      <c r="L79" s="60">
        <v>242902</v>
      </c>
      <c r="M79" s="60">
        <v>239771</v>
      </c>
      <c r="N79" s="60">
        <v>232973</v>
      </c>
      <c r="O79" s="60">
        <v>226520</v>
      </c>
      <c r="P79" s="60">
        <v>222222</v>
      </c>
      <c r="Q79" s="60">
        <v>215234</v>
      </c>
      <c r="R79" s="60">
        <v>204913</v>
      </c>
      <c r="S79" s="60">
        <v>206749</v>
      </c>
      <c r="T79" s="60">
        <v>209579</v>
      </c>
      <c r="U79" s="60">
        <v>211067</v>
      </c>
      <c r="V79" s="60">
        <v>211394</v>
      </c>
      <c r="W79" s="12"/>
      <c r="X79" s="12"/>
      <c r="Y79" s="12"/>
      <c r="Z79" s="12"/>
      <c r="AA79" s="12"/>
    </row>
    <row r="80" spans="1:27" ht="13.8" x14ac:dyDescent="0.25">
      <c r="A80" s="48" t="s">
        <v>83</v>
      </c>
      <c r="B80" s="60">
        <v>218951</v>
      </c>
      <c r="C80" s="60">
        <v>219631</v>
      </c>
      <c r="D80" s="60">
        <v>218485</v>
      </c>
      <c r="E80" s="60">
        <v>225385</v>
      </c>
      <c r="F80" s="60">
        <v>241753</v>
      </c>
      <c r="G80" s="60">
        <v>247190</v>
      </c>
      <c r="H80" s="60">
        <v>255069</v>
      </c>
      <c r="I80" s="60">
        <v>264506</v>
      </c>
      <c r="J80" s="60">
        <v>266889</v>
      </c>
      <c r="K80" s="60">
        <v>263918</v>
      </c>
      <c r="L80" s="60">
        <v>264127</v>
      </c>
      <c r="M80" s="60">
        <v>260854</v>
      </c>
      <c r="N80" s="60">
        <v>259072</v>
      </c>
      <c r="O80" s="60">
        <v>255516</v>
      </c>
      <c r="P80" s="60">
        <v>249079</v>
      </c>
      <c r="Q80" s="60">
        <v>244537</v>
      </c>
      <c r="R80" s="60">
        <v>237720</v>
      </c>
      <c r="S80" s="60">
        <v>233303</v>
      </c>
      <c r="T80" s="60">
        <v>229066</v>
      </c>
      <c r="U80" s="60">
        <v>224644</v>
      </c>
      <c r="V80" s="60">
        <v>218686</v>
      </c>
      <c r="W80" s="12"/>
      <c r="X80" s="12"/>
      <c r="Y80" s="12"/>
      <c r="Z80" s="12"/>
      <c r="AA80" s="12"/>
    </row>
    <row r="81" spans="1:27" ht="13.8" x14ac:dyDescent="0.25">
      <c r="A81" s="48" t="s">
        <v>85</v>
      </c>
      <c r="B81" s="60">
        <v>247799</v>
      </c>
      <c r="C81" s="60">
        <v>251659</v>
      </c>
      <c r="D81" s="60">
        <v>254523</v>
      </c>
      <c r="E81" s="60">
        <v>263114</v>
      </c>
      <c r="F81" s="60">
        <v>274308</v>
      </c>
      <c r="G81" s="60">
        <v>272639</v>
      </c>
      <c r="H81" s="60">
        <v>262606</v>
      </c>
      <c r="I81" s="60">
        <v>254582</v>
      </c>
      <c r="J81" s="60">
        <v>255615</v>
      </c>
      <c r="K81" s="60">
        <v>265659</v>
      </c>
      <c r="L81" s="60">
        <v>271030</v>
      </c>
      <c r="M81" s="60">
        <v>279988</v>
      </c>
      <c r="N81" s="60">
        <v>290198</v>
      </c>
      <c r="O81" s="60">
        <v>291631</v>
      </c>
      <c r="P81" s="60">
        <v>288194</v>
      </c>
      <c r="Q81" s="60">
        <v>286997</v>
      </c>
      <c r="R81" s="60">
        <v>278037</v>
      </c>
      <c r="S81" s="60">
        <v>280082</v>
      </c>
      <c r="T81" s="60">
        <v>277889</v>
      </c>
      <c r="U81" s="60">
        <v>269536</v>
      </c>
      <c r="V81" s="60">
        <v>263735</v>
      </c>
      <c r="W81" s="12"/>
      <c r="X81" s="12"/>
      <c r="Y81" s="12"/>
      <c r="Z81" s="12"/>
      <c r="AA81" s="12"/>
    </row>
    <row r="82" spans="1:27" ht="13.8" x14ac:dyDescent="0.25">
      <c r="A82" s="48" t="s">
        <v>86</v>
      </c>
      <c r="B82" s="60">
        <v>293414</v>
      </c>
      <c r="C82" s="60">
        <v>293251</v>
      </c>
      <c r="D82" s="60">
        <v>294453</v>
      </c>
      <c r="E82" s="60">
        <v>289817</v>
      </c>
      <c r="F82" s="60">
        <v>297240</v>
      </c>
      <c r="G82" s="60">
        <v>298687</v>
      </c>
      <c r="H82" s="60">
        <v>297555</v>
      </c>
      <c r="I82" s="60">
        <v>295396</v>
      </c>
      <c r="J82" s="60">
        <v>296870</v>
      </c>
      <c r="K82" s="60">
        <v>292287</v>
      </c>
      <c r="L82" s="60">
        <v>290619</v>
      </c>
      <c r="M82" s="60">
        <v>285544</v>
      </c>
      <c r="N82" s="60">
        <v>279340</v>
      </c>
      <c r="O82" s="60">
        <v>281397</v>
      </c>
      <c r="P82" s="60">
        <v>293446</v>
      </c>
      <c r="Q82" s="60">
        <v>297798</v>
      </c>
      <c r="R82" s="60">
        <v>301060</v>
      </c>
      <c r="S82" s="60">
        <v>317153</v>
      </c>
      <c r="T82" s="60">
        <v>323627</v>
      </c>
      <c r="U82" s="60">
        <v>320486</v>
      </c>
      <c r="V82" s="60">
        <v>319836</v>
      </c>
      <c r="W82" s="12"/>
      <c r="X82" s="12"/>
      <c r="Y82" s="12"/>
      <c r="Z82" s="12"/>
      <c r="AA82" s="12"/>
    </row>
    <row r="83" spans="1:27" ht="13.8" x14ac:dyDescent="0.25">
      <c r="A83" s="48" t="s">
        <v>87</v>
      </c>
      <c r="B83" s="60">
        <v>299153</v>
      </c>
      <c r="C83" s="60">
        <v>298203</v>
      </c>
      <c r="D83" s="60">
        <v>301973</v>
      </c>
      <c r="E83" s="60">
        <v>307243</v>
      </c>
      <c r="F83" s="60">
        <v>317311</v>
      </c>
      <c r="G83" s="60">
        <v>320024</v>
      </c>
      <c r="H83" s="60">
        <v>316161</v>
      </c>
      <c r="I83" s="60">
        <v>313970</v>
      </c>
      <c r="J83" s="60">
        <v>305503</v>
      </c>
      <c r="K83" s="60">
        <v>302029</v>
      </c>
      <c r="L83" s="60">
        <v>301067</v>
      </c>
      <c r="M83" s="60">
        <v>301998</v>
      </c>
      <c r="N83" s="60">
        <v>300956</v>
      </c>
      <c r="O83" s="60">
        <v>303720</v>
      </c>
      <c r="P83" s="60">
        <v>300818</v>
      </c>
      <c r="Q83" s="60">
        <v>299515</v>
      </c>
      <c r="R83" s="60">
        <v>289221</v>
      </c>
      <c r="S83" s="60">
        <v>290981</v>
      </c>
      <c r="T83" s="60">
        <v>300037</v>
      </c>
      <c r="U83" s="60">
        <v>314575</v>
      </c>
      <c r="V83" s="60">
        <v>320125</v>
      </c>
      <c r="W83" s="12"/>
      <c r="X83" s="12"/>
      <c r="Y83" s="12"/>
      <c r="Z83" s="12"/>
      <c r="AA83" s="12"/>
    </row>
    <row r="84" spans="1:27" ht="13.8" x14ac:dyDescent="0.25">
      <c r="A84" s="48" t="s">
        <v>88</v>
      </c>
      <c r="B84" s="60">
        <v>321472</v>
      </c>
      <c r="C84" s="60">
        <v>323017</v>
      </c>
      <c r="D84" s="60">
        <v>321049</v>
      </c>
      <c r="E84" s="60">
        <v>317363</v>
      </c>
      <c r="F84" s="60">
        <v>312983</v>
      </c>
      <c r="G84" s="60">
        <v>309441</v>
      </c>
      <c r="H84" s="60">
        <v>306614</v>
      </c>
      <c r="I84" s="60">
        <v>308823</v>
      </c>
      <c r="J84" s="60">
        <v>312581</v>
      </c>
      <c r="K84" s="60">
        <v>316023</v>
      </c>
      <c r="L84" s="60">
        <v>316755</v>
      </c>
      <c r="M84" s="60">
        <v>313445</v>
      </c>
      <c r="N84" s="60">
        <v>311484</v>
      </c>
      <c r="O84" s="60">
        <v>303640</v>
      </c>
      <c r="P84" s="60">
        <v>300763</v>
      </c>
      <c r="Q84" s="60">
        <v>299291</v>
      </c>
      <c r="R84" s="60">
        <v>292770</v>
      </c>
      <c r="S84" s="60">
        <v>299871</v>
      </c>
      <c r="T84" s="60">
        <v>310173</v>
      </c>
      <c r="U84" s="60">
        <v>310259</v>
      </c>
      <c r="V84" s="60">
        <v>311772</v>
      </c>
      <c r="W84" s="12"/>
      <c r="X84" s="12"/>
      <c r="Y84" s="12"/>
      <c r="Z84" s="12"/>
      <c r="AA84" s="12"/>
    </row>
    <row r="85" spans="1:27" ht="13.8" x14ac:dyDescent="0.25">
      <c r="A85" s="48" t="s">
        <v>89</v>
      </c>
      <c r="B85" s="60">
        <v>307546</v>
      </c>
      <c r="C85" s="60">
        <v>312858</v>
      </c>
      <c r="D85" s="60">
        <v>315552</v>
      </c>
      <c r="E85" s="60">
        <v>318078</v>
      </c>
      <c r="F85" s="60">
        <v>322497</v>
      </c>
      <c r="G85" s="60">
        <v>323459</v>
      </c>
      <c r="H85" s="60">
        <v>323991</v>
      </c>
      <c r="I85" s="60">
        <v>320925</v>
      </c>
      <c r="J85" s="60">
        <v>316336</v>
      </c>
      <c r="K85" s="60">
        <v>308533</v>
      </c>
      <c r="L85" s="60">
        <v>303413</v>
      </c>
      <c r="M85" s="60">
        <v>301183</v>
      </c>
      <c r="N85" s="60">
        <v>303457</v>
      </c>
      <c r="O85" s="60">
        <v>307838</v>
      </c>
      <c r="P85" s="60">
        <v>311682</v>
      </c>
      <c r="Q85" s="60">
        <v>311740</v>
      </c>
      <c r="R85" s="60">
        <v>300125</v>
      </c>
      <c r="S85" s="60">
        <v>304317</v>
      </c>
      <c r="T85" s="60">
        <v>302515</v>
      </c>
      <c r="U85" s="60">
        <v>301224</v>
      </c>
      <c r="V85" s="60">
        <v>302015</v>
      </c>
      <c r="W85" s="12"/>
      <c r="X85" s="12"/>
      <c r="Y85" s="12"/>
      <c r="Z85" s="12"/>
      <c r="AA85" s="12"/>
    </row>
    <row r="86" spans="1:27" ht="13.8" x14ac:dyDescent="0.25">
      <c r="A86" s="48" t="s">
        <v>91</v>
      </c>
      <c r="B86" s="60">
        <v>254168</v>
      </c>
      <c r="C86" s="60">
        <v>266994</v>
      </c>
      <c r="D86" s="60">
        <v>279220</v>
      </c>
      <c r="E86" s="60">
        <v>289189</v>
      </c>
      <c r="F86" s="60">
        <v>297383</v>
      </c>
      <c r="G86" s="60">
        <v>303044</v>
      </c>
      <c r="H86" s="60">
        <v>308130</v>
      </c>
      <c r="I86" s="60">
        <v>310376</v>
      </c>
      <c r="J86" s="60">
        <v>312988</v>
      </c>
      <c r="K86" s="60">
        <v>315503</v>
      </c>
      <c r="L86" s="60">
        <v>315091</v>
      </c>
      <c r="M86" s="60">
        <v>315598</v>
      </c>
      <c r="N86" s="60">
        <v>312814</v>
      </c>
      <c r="O86" s="60">
        <v>308965</v>
      </c>
      <c r="P86" s="60">
        <v>301682</v>
      </c>
      <c r="Q86" s="60">
        <v>296068</v>
      </c>
      <c r="R86" s="60">
        <v>285962</v>
      </c>
      <c r="S86" s="60">
        <v>292984</v>
      </c>
      <c r="T86" s="60">
        <v>302367</v>
      </c>
      <c r="U86" s="60">
        <v>307332</v>
      </c>
      <c r="V86" s="60">
        <v>308978</v>
      </c>
      <c r="W86" s="12"/>
      <c r="X86" s="12"/>
      <c r="Y86" s="12"/>
      <c r="Z86" s="12"/>
      <c r="AA86" s="12"/>
    </row>
    <row r="87" spans="1:27" ht="13.8" x14ac:dyDescent="0.25">
      <c r="A87" s="48" t="s">
        <v>92</v>
      </c>
      <c r="B87" s="60">
        <v>197803</v>
      </c>
      <c r="C87" s="60">
        <v>214601</v>
      </c>
      <c r="D87" s="60">
        <v>220983</v>
      </c>
      <c r="E87" s="60">
        <v>229356</v>
      </c>
      <c r="F87" s="60">
        <v>239947</v>
      </c>
      <c r="G87" s="60">
        <v>248696</v>
      </c>
      <c r="H87" s="60">
        <v>260678</v>
      </c>
      <c r="I87" s="60">
        <v>271817</v>
      </c>
      <c r="J87" s="60">
        <v>281069</v>
      </c>
      <c r="K87" s="60">
        <v>288392</v>
      </c>
      <c r="L87" s="60">
        <v>295063</v>
      </c>
      <c r="M87" s="60">
        <v>299591</v>
      </c>
      <c r="N87" s="60">
        <v>301678</v>
      </c>
      <c r="O87" s="60">
        <v>304390</v>
      </c>
      <c r="P87" s="60">
        <v>306759</v>
      </c>
      <c r="Q87" s="60">
        <v>305830</v>
      </c>
      <c r="R87" s="60">
        <v>298226</v>
      </c>
      <c r="S87" s="60">
        <v>299835</v>
      </c>
      <c r="T87" s="60">
        <v>300668</v>
      </c>
      <c r="U87" s="60">
        <v>294228</v>
      </c>
      <c r="V87" s="60">
        <v>289783</v>
      </c>
      <c r="W87" s="12"/>
      <c r="X87" s="12"/>
      <c r="Y87" s="12"/>
      <c r="Z87" s="12"/>
      <c r="AA87" s="12"/>
    </row>
    <row r="88" spans="1:27" ht="13.8" x14ac:dyDescent="0.25">
      <c r="A88" s="48" t="s">
        <v>93</v>
      </c>
      <c r="B88" s="60">
        <v>117575</v>
      </c>
      <c r="C88" s="60">
        <v>118242</v>
      </c>
      <c r="D88" s="60">
        <v>135501</v>
      </c>
      <c r="E88" s="60">
        <v>153161</v>
      </c>
      <c r="F88" s="60">
        <v>169696</v>
      </c>
      <c r="G88" s="60">
        <v>191995</v>
      </c>
      <c r="H88" s="60">
        <v>208160</v>
      </c>
      <c r="I88" s="60">
        <v>213996</v>
      </c>
      <c r="J88" s="60">
        <v>222154</v>
      </c>
      <c r="K88" s="60">
        <v>231502</v>
      </c>
      <c r="L88" s="60">
        <v>240493</v>
      </c>
      <c r="M88" s="60">
        <v>251853</v>
      </c>
      <c r="N88" s="60">
        <v>262651</v>
      </c>
      <c r="O88" s="60">
        <v>271688</v>
      </c>
      <c r="P88" s="60">
        <v>278828</v>
      </c>
      <c r="Q88" s="60">
        <v>284626</v>
      </c>
      <c r="R88" s="60">
        <v>282612</v>
      </c>
      <c r="S88" s="60">
        <v>288007</v>
      </c>
      <c r="T88" s="60">
        <v>293788</v>
      </c>
      <c r="U88" s="60">
        <v>296643</v>
      </c>
      <c r="V88" s="60">
        <v>296675</v>
      </c>
      <c r="W88" s="12"/>
      <c r="X88" s="12"/>
      <c r="Y88" s="12"/>
      <c r="Z88" s="12"/>
      <c r="AA88" s="12"/>
    </row>
    <row r="89" spans="1:27" ht="13.8" x14ac:dyDescent="0.25">
      <c r="A89" s="48" t="s">
        <v>94</v>
      </c>
      <c r="B89" s="60">
        <v>101088</v>
      </c>
      <c r="C89" s="60">
        <v>108837</v>
      </c>
      <c r="D89" s="60">
        <v>113757</v>
      </c>
      <c r="E89" s="60">
        <v>115185</v>
      </c>
      <c r="F89" s="60">
        <v>116258</v>
      </c>
      <c r="G89" s="60">
        <v>111511</v>
      </c>
      <c r="H89" s="60">
        <v>112396</v>
      </c>
      <c r="I89" s="60">
        <v>128879</v>
      </c>
      <c r="J89" s="60">
        <v>145817</v>
      </c>
      <c r="K89" s="60">
        <v>161198</v>
      </c>
      <c r="L89" s="60">
        <v>182425</v>
      </c>
      <c r="M89" s="60">
        <v>198020</v>
      </c>
      <c r="N89" s="60">
        <v>203969</v>
      </c>
      <c r="O89" s="60">
        <v>212101</v>
      </c>
      <c r="P89" s="60">
        <v>221296</v>
      </c>
      <c r="Q89" s="60">
        <v>229396</v>
      </c>
      <c r="R89" s="60">
        <v>235391</v>
      </c>
      <c r="S89" s="60">
        <v>247930</v>
      </c>
      <c r="T89" s="60">
        <v>259041</v>
      </c>
      <c r="U89" s="60">
        <v>266169</v>
      </c>
      <c r="V89" s="60">
        <v>272419</v>
      </c>
      <c r="W89" s="12"/>
      <c r="X89" s="12"/>
      <c r="Y89" s="12"/>
      <c r="Z89" s="12"/>
      <c r="AA89" s="12"/>
    </row>
    <row r="90" spans="1:27" ht="13.8" x14ac:dyDescent="0.25">
      <c r="A90" s="48" t="s">
        <v>95</v>
      </c>
      <c r="B90" s="60">
        <v>76545</v>
      </c>
      <c r="C90" s="60">
        <v>78317</v>
      </c>
      <c r="D90" s="60">
        <v>78631</v>
      </c>
      <c r="E90" s="60">
        <v>81307</v>
      </c>
      <c r="F90" s="60">
        <v>87428</v>
      </c>
      <c r="G90" s="60">
        <v>92618</v>
      </c>
      <c r="H90" s="60">
        <v>100073</v>
      </c>
      <c r="I90" s="60">
        <v>104414</v>
      </c>
      <c r="J90" s="60">
        <v>105746</v>
      </c>
      <c r="K90" s="60">
        <v>106815</v>
      </c>
      <c r="L90" s="60">
        <v>102631</v>
      </c>
      <c r="M90" s="60">
        <v>103796</v>
      </c>
      <c r="N90" s="60">
        <v>119494</v>
      </c>
      <c r="O90" s="60">
        <v>135546</v>
      </c>
      <c r="P90" s="60">
        <v>150127</v>
      </c>
      <c r="Q90" s="60">
        <v>170008</v>
      </c>
      <c r="R90" s="60">
        <v>181326</v>
      </c>
      <c r="S90" s="60">
        <v>188584</v>
      </c>
      <c r="T90" s="60">
        <v>197890</v>
      </c>
      <c r="U90" s="60">
        <v>206521</v>
      </c>
      <c r="V90" s="60">
        <v>214617</v>
      </c>
      <c r="W90" s="12"/>
      <c r="X90" s="12"/>
      <c r="Y90" s="12"/>
      <c r="Z90" s="12"/>
      <c r="AA90" s="12"/>
    </row>
    <row r="91" spans="1:27" ht="13.8" x14ac:dyDescent="0.25">
      <c r="A91" s="48" t="s">
        <v>96</v>
      </c>
      <c r="B91" s="60">
        <v>51601</v>
      </c>
      <c r="C91" s="60">
        <v>54413</v>
      </c>
      <c r="D91" s="60">
        <v>56732</v>
      </c>
      <c r="E91" s="60">
        <v>59001</v>
      </c>
      <c r="F91" s="60">
        <v>61490</v>
      </c>
      <c r="G91" s="60">
        <v>65178</v>
      </c>
      <c r="H91" s="60">
        <v>66909</v>
      </c>
      <c r="I91" s="60">
        <v>67675</v>
      </c>
      <c r="J91" s="60">
        <v>70619</v>
      </c>
      <c r="K91" s="60">
        <v>76294</v>
      </c>
      <c r="L91" s="60">
        <v>81211</v>
      </c>
      <c r="M91" s="60">
        <v>87955</v>
      </c>
      <c r="N91" s="60">
        <v>91953</v>
      </c>
      <c r="O91" s="60">
        <v>93327</v>
      </c>
      <c r="P91" s="60">
        <v>94600</v>
      </c>
      <c r="Q91" s="60">
        <v>90990</v>
      </c>
      <c r="R91" s="60">
        <v>90978</v>
      </c>
      <c r="S91" s="60">
        <v>105792</v>
      </c>
      <c r="T91" s="60">
        <v>121003</v>
      </c>
      <c r="U91" s="60">
        <v>134612</v>
      </c>
      <c r="V91" s="60">
        <v>152820</v>
      </c>
      <c r="W91" s="12"/>
      <c r="X91" s="12"/>
      <c r="Y91" s="12"/>
      <c r="Z91" s="12"/>
      <c r="AA91" s="12"/>
    </row>
    <row r="92" spans="1:27" ht="13.8" x14ac:dyDescent="0.25">
      <c r="A92" s="48" t="s">
        <v>97</v>
      </c>
      <c r="B92" s="60">
        <v>27879</v>
      </c>
      <c r="C92" s="60">
        <v>29443</v>
      </c>
      <c r="D92" s="60">
        <v>31519</v>
      </c>
      <c r="E92" s="60">
        <v>33882</v>
      </c>
      <c r="F92" s="60">
        <v>37143</v>
      </c>
      <c r="G92" s="60">
        <v>39839</v>
      </c>
      <c r="H92" s="60">
        <v>42145</v>
      </c>
      <c r="I92" s="60">
        <v>44115</v>
      </c>
      <c r="J92" s="60">
        <v>46199</v>
      </c>
      <c r="K92" s="60">
        <v>48418</v>
      </c>
      <c r="L92" s="60">
        <v>51785</v>
      </c>
      <c r="M92" s="60">
        <v>53556</v>
      </c>
      <c r="N92" s="60">
        <v>54341</v>
      </c>
      <c r="O92" s="60">
        <v>57103</v>
      </c>
      <c r="P92" s="60">
        <v>62293</v>
      </c>
      <c r="Q92" s="60">
        <v>66513</v>
      </c>
      <c r="R92" s="60">
        <v>71555</v>
      </c>
      <c r="S92" s="60">
        <v>74937</v>
      </c>
      <c r="T92" s="60">
        <v>76165</v>
      </c>
      <c r="U92" s="60">
        <v>77542</v>
      </c>
      <c r="V92" s="60">
        <v>74810</v>
      </c>
      <c r="W92" s="12"/>
      <c r="X92" s="12"/>
      <c r="Y92" s="12"/>
      <c r="Z92" s="12"/>
      <c r="AA92" s="12"/>
    </row>
    <row r="93" spans="1:27" ht="13.8" x14ac:dyDescent="0.25">
      <c r="A93" s="55" t="s">
        <v>98</v>
      </c>
      <c r="B93" s="60">
        <v>14514</v>
      </c>
      <c r="C93" s="60">
        <v>15206</v>
      </c>
      <c r="D93" s="60">
        <v>15923</v>
      </c>
      <c r="E93" s="60">
        <v>16734</v>
      </c>
      <c r="F93" s="60">
        <v>17569</v>
      </c>
      <c r="G93" s="60">
        <v>18481</v>
      </c>
      <c r="H93" s="60">
        <v>19756</v>
      </c>
      <c r="I93" s="60">
        <v>21503</v>
      </c>
      <c r="J93" s="60">
        <v>23235</v>
      </c>
      <c r="K93" s="60">
        <v>25486</v>
      </c>
      <c r="L93" s="60">
        <v>27494</v>
      </c>
      <c r="M93" s="60">
        <v>29086</v>
      </c>
      <c r="N93" s="60">
        <v>30481</v>
      </c>
      <c r="O93" s="60">
        <v>31991</v>
      </c>
      <c r="P93" s="60">
        <v>33935</v>
      </c>
      <c r="Q93" s="60">
        <v>36586</v>
      </c>
      <c r="R93" s="60">
        <v>37668</v>
      </c>
      <c r="S93" s="60">
        <v>37948</v>
      </c>
      <c r="T93" s="60">
        <v>40016</v>
      </c>
      <c r="U93" s="60">
        <v>43906</v>
      </c>
      <c r="V93" s="60">
        <v>47550</v>
      </c>
      <c r="W93" s="12"/>
      <c r="X93" s="12"/>
      <c r="Y93" s="12"/>
      <c r="Z93" s="12"/>
      <c r="AA93" s="12"/>
    </row>
    <row r="94" spans="1:27" ht="13.8" x14ac:dyDescent="0.25">
      <c r="A94" s="55" t="s">
        <v>99</v>
      </c>
      <c r="B94" s="61">
        <v>8066</v>
      </c>
      <c r="C94" s="61">
        <v>8510</v>
      </c>
      <c r="D94" s="61">
        <v>9024</v>
      </c>
      <c r="E94" s="61">
        <v>9681</v>
      </c>
      <c r="F94" s="61">
        <v>10244</v>
      </c>
      <c r="G94" s="61">
        <v>10760</v>
      </c>
      <c r="H94" s="61">
        <v>11366</v>
      </c>
      <c r="I94" s="61">
        <v>12050</v>
      </c>
      <c r="J94" s="61">
        <v>12821</v>
      </c>
      <c r="K94" s="61">
        <v>13390</v>
      </c>
      <c r="L94" s="61">
        <v>14169</v>
      </c>
      <c r="M94" s="61">
        <v>15157</v>
      </c>
      <c r="N94" s="61">
        <v>16454</v>
      </c>
      <c r="O94" s="61">
        <v>17786</v>
      </c>
      <c r="P94" s="61">
        <v>19429</v>
      </c>
      <c r="Q94" s="61">
        <v>20875</v>
      </c>
      <c r="R94" s="61">
        <v>22090</v>
      </c>
      <c r="S94" s="61">
        <v>22942</v>
      </c>
      <c r="T94" s="61">
        <v>23728</v>
      </c>
      <c r="U94" s="61">
        <v>25155</v>
      </c>
      <c r="V94" s="61">
        <v>27360</v>
      </c>
      <c r="W94" s="12"/>
      <c r="X94" s="12"/>
      <c r="Y94" s="12"/>
      <c r="Z94" s="12"/>
      <c r="AA94" s="12"/>
    </row>
    <row r="95" spans="1:27" ht="13.8" x14ac:dyDescent="0.25">
      <c r="A95" s="368" t="s">
        <v>103</v>
      </c>
      <c r="B95" s="369">
        <f>SUM(B75:B94)</f>
        <v>3467814</v>
      </c>
      <c r="C95" s="369">
        <f t="shared" ref="C95" si="2">SUM(C75:C94)</f>
        <v>3525894</v>
      </c>
      <c r="D95" s="369">
        <f t="shared" ref="D95" si="3">SUM(D75:D94)</f>
        <v>3583082</v>
      </c>
      <c r="E95" s="369">
        <f t="shared" ref="E95" si="4">SUM(E75:E94)</f>
        <v>3642659</v>
      </c>
      <c r="F95" s="369">
        <f t="shared" ref="F95" si="5">SUM(F75:F94)</f>
        <v>3733876</v>
      </c>
      <c r="G95" s="369">
        <f t="shared" ref="G95" si="6">SUM(G75:G94)</f>
        <v>3771721</v>
      </c>
      <c r="H95" s="369">
        <f t="shared" ref="H95" si="7">SUM(H75:H94)</f>
        <v>3789251</v>
      </c>
      <c r="I95" s="369">
        <f t="shared" ref="I95" si="8">SUM(I75:I94)</f>
        <v>3818205</v>
      </c>
      <c r="J95" s="369">
        <f t="shared" ref="J95" si="9">SUM(J75:J94)</f>
        <v>3844751</v>
      </c>
      <c r="K95" s="369">
        <f t="shared" ref="K95" si="10">SUM(K75:K94)</f>
        <v>3870739</v>
      </c>
      <c r="L95" s="369">
        <f t="shared" ref="L95" si="11">SUM(L75:L94)</f>
        <v>3902690</v>
      </c>
      <c r="M95" s="369">
        <f t="shared" ref="M95" si="12">SUM(M75:M94)</f>
        <v>3933559</v>
      </c>
      <c r="N95" s="369">
        <f t="shared" ref="N95" si="13">SUM(N75:N94)</f>
        <v>3965796</v>
      </c>
      <c r="O95" s="369">
        <f t="shared" ref="O95" si="14">SUM(O75:O94)</f>
        <v>3994283</v>
      </c>
      <c r="P95" s="369">
        <f t="shared" ref="P95" si="15">SUM(P75:P94)</f>
        <v>4026209</v>
      </c>
      <c r="Q95" s="369">
        <f t="shared" ref="Q95" si="16">SUM(Q75:Q94)</f>
        <v>4044210</v>
      </c>
      <c r="R95" s="369">
        <f t="shared" ref="R95" si="17">SUM(R75:R94)</f>
        <v>3986842</v>
      </c>
      <c r="S95" s="369">
        <f>SUM(S75:S94)</f>
        <v>4073239</v>
      </c>
      <c r="T95" s="369">
        <f>SUM(T75:T94)</f>
        <v>4149253</v>
      </c>
      <c r="U95" s="369">
        <f>SUM(U75:U94)</f>
        <v>4180868</v>
      </c>
      <c r="V95" s="369">
        <f>SUM(V75:V94)</f>
        <v>4204515</v>
      </c>
      <c r="W95" s="12"/>
      <c r="X95" s="12"/>
      <c r="Y95" s="12"/>
      <c r="Z95" s="12"/>
      <c r="AA95" s="12"/>
    </row>
    <row r="96" spans="1:27" ht="14.2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4.2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4.2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4.2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4.2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4.2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4.2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4.2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4.2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4.2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4.2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4.2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4.2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4.2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4.2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4.2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4.2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4.2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4.2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4.2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0500-23A0-4E65-B589-3AF156BA8F0F}">
  <sheetPr>
    <pageSetUpPr fitToPage="1"/>
  </sheetPr>
  <dimension ref="A1:AF63"/>
  <sheetViews>
    <sheetView workbookViewId="0">
      <selection activeCell="B8" sqref="B8"/>
    </sheetView>
  </sheetViews>
  <sheetFormatPr defaultColWidth="9.109375" defaultRowHeight="13.8" x14ac:dyDescent="0.25"/>
  <cols>
    <col min="1" max="1" width="20.44140625" style="35" customWidth="1"/>
    <col min="2" max="2" width="11.109375" style="35" customWidth="1"/>
    <col min="3" max="3" width="12.33203125" style="35" customWidth="1"/>
    <col min="4" max="5" width="10.6640625" style="35" customWidth="1"/>
    <col min="6" max="6" width="11.33203125" style="35" customWidth="1"/>
    <col min="7" max="7" width="11.109375" style="35" customWidth="1"/>
    <col min="8" max="8" width="10.88671875" style="35" customWidth="1"/>
    <col min="9" max="11" width="10.44140625" style="35" customWidth="1"/>
    <col min="12" max="12" width="10.88671875" style="35" customWidth="1"/>
    <col min="13" max="14" width="10.6640625" style="35" bestFit="1" customWidth="1"/>
    <col min="15" max="15" width="14.109375" style="35" customWidth="1"/>
    <col min="16" max="16" width="10.6640625" style="35" bestFit="1" customWidth="1"/>
    <col min="17" max="17" width="10.44140625" style="35" customWidth="1"/>
    <col min="18" max="18" width="11" style="35" customWidth="1"/>
    <col min="19" max="32" width="10.6640625" style="35" bestFit="1" customWidth="1"/>
    <col min="33" max="16384" width="9.109375" style="35"/>
  </cols>
  <sheetData>
    <row r="1" spans="1:18" x14ac:dyDescent="0.25">
      <c r="A1" s="13" t="s">
        <v>104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25">
      <c r="A3" s="367" t="s">
        <v>105</v>
      </c>
      <c r="B3" s="367">
        <v>2025</v>
      </c>
      <c r="C3" s="367">
        <v>2026</v>
      </c>
      <c r="D3" s="367">
        <v>2027</v>
      </c>
      <c r="E3" s="367">
        <v>2028</v>
      </c>
      <c r="F3" s="367">
        <v>2029</v>
      </c>
      <c r="G3" s="367">
        <v>2030</v>
      </c>
      <c r="H3" s="367">
        <v>2031</v>
      </c>
      <c r="I3" s="367">
        <v>2032</v>
      </c>
      <c r="J3" s="367">
        <v>2033</v>
      </c>
      <c r="K3" s="367">
        <v>2034</v>
      </c>
      <c r="L3" s="367">
        <v>2035</v>
      </c>
      <c r="M3" s="12"/>
      <c r="N3" s="12"/>
      <c r="O3" s="370" t="s">
        <v>106</v>
      </c>
      <c r="P3" s="370" t="s">
        <v>107</v>
      </c>
      <c r="Q3" s="367" t="s">
        <v>108</v>
      </c>
      <c r="R3" s="370" t="s">
        <v>109</v>
      </c>
    </row>
    <row r="4" spans="1:18" x14ac:dyDescent="0.25">
      <c r="A4" s="48" t="s">
        <v>79</v>
      </c>
      <c r="B4" s="371">
        <f>'M1 Population'!V75</f>
        <v>29422</v>
      </c>
      <c r="C4" s="369">
        <f>(SUMPRODUCT($B$8:$B$14,'M1 Population'!F$4:F$10) * 0.5 / 1000) * 'M1 Population'!$C3</f>
        <v>27351.396859210647</v>
      </c>
      <c r="D4" s="369">
        <f>(SUMPRODUCT($B$8:$B$14,'M1 Population'!G$4:G$10) * 0.5 / 1000) * 'M1 Population'!$C3</f>
        <v>26676.799893923362</v>
      </c>
      <c r="E4" s="369">
        <f>(SUMPRODUCT($B$8:$B$14,'M1 Population'!H$4:H$10) * 0.5 / 1000) * 'M1 Population'!$C3</f>
        <v>26031.763052452232</v>
      </c>
      <c r="F4" s="369">
        <f>(SUMPRODUCT($B$8:$B$14,'M1 Population'!I$4:I$10) * 0.5 / 1000) * 'M1 Population'!$C3</f>
        <v>25414.892199583806</v>
      </c>
      <c r="G4" s="369">
        <f>(SUMPRODUCT($B$8:$B$14,'M1 Population'!J$4:J$10) * 0.5 / 1000) * 'M1 Population'!$C3</f>
        <v>24824.867170334812</v>
      </c>
      <c r="H4" s="369">
        <f>(SUMPRODUCT($B$8:$B$14,'M1 Population'!K$4:K$10) * 0.5 / 1000) * 'M1 Population'!$C3</f>
        <v>24260.437682019492</v>
      </c>
      <c r="I4" s="369">
        <f>(SUMPRODUCT($B$8:$B$14,'M1 Population'!L$4:L$10) * 0.5 / 1000) * 'M1 Population'!$C3</f>
        <v>23720.41948266605</v>
      </c>
      <c r="J4" s="369">
        <f>(SUMPRODUCT($B$8:$B$14,'M1 Population'!M$4:M$10) * 0.5 / 1000) * 'M1 Population'!$C3</f>
        <v>23203.690721884301</v>
      </c>
      <c r="K4" s="369">
        <f>(SUMPRODUCT($B$8:$B$14,'M1 Population'!N$4:N$10) * 0.5 / 1000) * 'M1 Population'!$C3</f>
        <v>22709.188531124262</v>
      </c>
      <c r="L4" s="62">
        <f>(SUMPRODUCT($B$8:$B$14,'M1 Population'!O$4:O$10) * 0.5 / 1000) * 'M1 Population'!$C3</f>
        <v>22235.905801048051</v>
      </c>
      <c r="M4" s="12"/>
      <c r="N4" s="12"/>
      <c r="O4" s="48" t="s">
        <v>79</v>
      </c>
      <c r="P4" s="372">
        <f>B4</f>
        <v>29422</v>
      </c>
      <c r="Q4" s="372">
        <f>-1*P4</f>
        <v>-29422</v>
      </c>
      <c r="R4" s="372">
        <f>L4</f>
        <v>22235.905801048051</v>
      </c>
    </row>
    <row r="5" spans="1:18" x14ac:dyDescent="0.25">
      <c r="A5" s="48" t="s">
        <v>80</v>
      </c>
      <c r="B5" s="371">
        <f>'M1 Population'!V76</f>
        <v>136128</v>
      </c>
      <c r="C5" s="369">
        <f>(B4*'M1 Population'!$C$3) + (B5 * 0.8 * 'M1 Population'!$C$4)</f>
        <v>138254.07732000001</v>
      </c>
      <c r="D5" s="369">
        <f>(C4*'M1 Population'!$C$3) + (C5 * 0.8 * 'M1 Population'!$C$4)</f>
        <v>137888.34856736945</v>
      </c>
      <c r="E5" s="369">
        <f>(D4*'M1 Population'!$C$3) + (D5 * 0.8 * 'M1 Population'!$C$4)</f>
        <v>136922.56054414783</v>
      </c>
      <c r="F5" s="369">
        <f>(E4*'M1 Population'!$C$3) + (E5 * 0.8 * 'M1 Population'!$C$4)</f>
        <v>135506.273521561</v>
      </c>
      <c r="G5" s="369">
        <f>(F4*'M1 Population'!$C$3) + (F5 * 0.8 * 'M1 Population'!$C$4)</f>
        <v>133757.73243270774</v>
      </c>
      <c r="H5" s="369">
        <f>(G4*'M1 Population'!$C$3) + (G5 * 0.8 * 'M1 Population'!$C$4)</f>
        <v>131770.20626622232</v>
      </c>
      <c r="I5" s="369">
        <f>(H4*'M1 Population'!$C$3) + (H5 * 0.8 * 'M1 Population'!$C$4)</f>
        <v>129617.05499437837</v>
      </c>
      <c r="J5" s="369">
        <f>(I4*'M1 Population'!$C$3) + (I5 * 0.8 * 'M1 Population'!$C$4)</f>
        <v>127355.77886641421</v>
      </c>
      <c r="K5" s="369">
        <f>(J4*'M1 Population'!$C$3) + (J5 * 0.8 * 'M1 Population'!$C$4)</f>
        <v>125031.25389744816</v>
      </c>
      <c r="L5" s="62">
        <f>(K4*'M1 Population'!$C$3) + (K5 * 0.8 * 'M1 Population'!$C$4)</f>
        <v>122678.31658793814</v>
      </c>
      <c r="M5" s="12"/>
      <c r="N5" s="12"/>
      <c r="O5" s="48" t="s">
        <v>80</v>
      </c>
      <c r="P5" s="372">
        <f t="shared" ref="P5:P23" si="0">B5</f>
        <v>136128</v>
      </c>
      <c r="Q5" s="372">
        <f t="shared" ref="Q5:Q23" si="1">-1*P5</f>
        <v>-136128</v>
      </c>
      <c r="R5" s="372">
        <f t="shared" ref="R5:R23" si="2">L5</f>
        <v>122678.31658793814</v>
      </c>
    </row>
    <row r="6" spans="1:18" x14ac:dyDescent="0.25">
      <c r="A6" s="48" t="s">
        <v>82</v>
      </c>
      <c r="B6" s="371">
        <f>'M1 Population'!V77</f>
        <v>199813</v>
      </c>
      <c r="C6" s="369">
        <f>(B5 * 0.2 * 'M1 Population'!$C$4) +(B6 * 0.8 * 'M1 Population'!$C$5)</f>
        <v>187057.29240000003</v>
      </c>
      <c r="D6" s="369">
        <f>(C5 * 0.2 * 'M1 Population'!$C$4) +(C6 * 0.8 * 'M1 Population'!$C$5)</f>
        <v>177278.91971906164</v>
      </c>
      <c r="E6" s="369">
        <f>(D5 * 0.2 * 'M1 Population'!$C$4) +(D6 * 0.8 * 'M1 Population'!$C$5)</f>
        <v>169383.86540817432</v>
      </c>
      <c r="F6" s="369">
        <f>(E5 * 0.2 * 'M1 Population'!$C$4) +(E6 * 0.8 * 'M1 Population'!$C$5)</f>
        <v>162875.31527492547</v>
      </c>
      <c r="G6" s="369">
        <f>(F5 * 0.2 * 'M1 Population'!$C$4) +(F6 * 0.8 * 'M1 Population'!$C$5)</f>
        <v>157385.76677356014</v>
      </c>
      <c r="H6" s="369">
        <f>(G5 * 0.2 * 'M1 Population'!$C$4) +(G6 * 0.8 * 'M1 Population'!$C$5)</f>
        <v>152644.89388939913</v>
      </c>
      <c r="I6" s="369">
        <f>(H5 * 0.2 * 'M1 Population'!$C$4) +(H6 * 0.8 * 'M1 Population'!$C$5)</f>
        <v>148455.10936912731</v>
      </c>
      <c r="J6" s="369">
        <f>(I5 * 0.2 * 'M1 Population'!$C$4) +(I6 * 0.8 * 'M1 Population'!$C$5)</f>
        <v>144673.02974432812</v>
      </c>
      <c r="K6" s="369">
        <f>(J5 * 0.2 * 'M1 Population'!$C$4) +(J6 * 0.8 * 'M1 Population'!$C$5)</f>
        <v>141195.45861078848</v>
      </c>
      <c r="L6" s="62">
        <f>(K5 * 0.2 * 'M1 Population'!$C$4) +(K6 * 0.8 * 'M1 Population'!$C$5)</f>
        <v>137948.82140635361</v>
      </c>
      <c r="M6" s="12"/>
      <c r="N6" s="12"/>
      <c r="O6" s="48" t="s">
        <v>82</v>
      </c>
      <c r="P6" s="372">
        <f t="shared" si="0"/>
        <v>199813</v>
      </c>
      <c r="Q6" s="372">
        <f t="shared" si="1"/>
        <v>-199813</v>
      </c>
      <c r="R6" s="372">
        <f t="shared" si="2"/>
        <v>137948.82140635361</v>
      </c>
    </row>
    <row r="7" spans="1:18" x14ac:dyDescent="0.25">
      <c r="A7" s="48" t="s">
        <v>84</v>
      </c>
      <c r="B7" s="371">
        <f>'M1 Population'!V78</f>
        <v>206577</v>
      </c>
      <c r="C7" s="369">
        <f>(B6 * 0.2 * 'M1 Population'!$C5) + (B7 * 0.8 * 'M1 Population'!$C6)</f>
        <v>205200.372348</v>
      </c>
      <c r="D7" s="369">
        <f>(C6 * 0.2 * 'M1 Population'!$C5) + (C7 * 0.8 * 'M1 Population'!$C6)</f>
        <v>201548.31597680663</v>
      </c>
      <c r="E7" s="369">
        <f>(D6 * 0.2 * 'M1 Population'!$C5) + (D7 * 0.8 * 'M1 Population'!$C6)</f>
        <v>196671.54250852944</v>
      </c>
      <c r="F7" s="369">
        <f>(E6 * 0.2 * 'M1 Population'!$C5) + (E7 * 0.8 * 'M1 Population'!$C6)</f>
        <v>191191.73894306945</v>
      </c>
      <c r="G7" s="369">
        <f>(F6 * 0.2 * 'M1 Population'!$C5) + (F7 * 0.8 * 'M1 Population'!$C6)</f>
        <v>185506.84229619664</v>
      </c>
      <c r="H7" s="369">
        <f>(G6 * 0.2 * 'M1 Population'!$C5) + (G7 * 0.8 * 'M1 Population'!$C6)</f>
        <v>179861.67081947345</v>
      </c>
      <c r="I7" s="369">
        <f>(H6 * 0.2 * 'M1 Population'!$C5) + (H7 * 0.8 * 'M1 Population'!$C6)</f>
        <v>174397.99581518213</v>
      </c>
      <c r="J7" s="369">
        <f>(I6 * 0.2 * 'M1 Population'!$C5) + (I7 * 0.8 * 'M1 Population'!$C6)</f>
        <v>169189.70721618555</v>
      </c>
      <c r="K7" s="369">
        <f>(J6 * 0.2 * 'M1 Population'!$C5) + (J7 * 0.8 * 'M1 Population'!$C6)</f>
        <v>164267.23604932643</v>
      </c>
      <c r="L7" s="62">
        <f>(K6 * 0.2 * 'M1 Population'!$C5) + (K7 * 0.8 * 'M1 Population'!$C6)</f>
        <v>159634.28699778588</v>
      </c>
      <c r="M7" s="12"/>
      <c r="N7" s="12"/>
      <c r="O7" s="48" t="s">
        <v>84</v>
      </c>
      <c r="P7" s="372">
        <f t="shared" si="0"/>
        <v>206577</v>
      </c>
      <c r="Q7" s="372">
        <f t="shared" si="1"/>
        <v>-206577</v>
      </c>
      <c r="R7" s="372">
        <f t="shared" si="2"/>
        <v>159634.28699778588</v>
      </c>
    </row>
    <row r="8" spans="1:18" x14ac:dyDescent="0.25">
      <c r="A8" s="63" t="s">
        <v>81</v>
      </c>
      <c r="B8" s="371">
        <f>'M1 Population'!V79</f>
        <v>211394</v>
      </c>
      <c r="C8" s="369">
        <f>(B7 * 0.2 * 'M1 Population'!$C6) + (B8 * 0.8 * 'M1 Population'!$C7)</f>
        <v>210388.43680800003</v>
      </c>
      <c r="D8" s="369">
        <f>(C7 * 0.2 * 'M1 Population'!$C6) + (C8 * 0.8 * 'M1 Population'!$C7)</f>
        <v>209308.87074218548</v>
      </c>
      <c r="E8" s="369">
        <f>(D7 * 0.2 * 'M1 Population'!$C6) + (D8 * 0.8 * 'M1 Population'!$C7)</f>
        <v>207715.08426827565</v>
      </c>
      <c r="F8" s="369">
        <f>(E7 * 0.2 * 'M1 Population'!$C6) + (E8 * 0.8 * 'M1 Population'!$C7)</f>
        <v>205465.09794447501</v>
      </c>
      <c r="G8" s="369">
        <f>(F7 * 0.2 * 'M1 Population'!$C6) + (F8 * 0.8 * 'M1 Population'!$C7)</f>
        <v>202569.67568522107</v>
      </c>
      <c r="H8" s="369">
        <f>(G7 * 0.2 * 'M1 Population'!$C6) + (G8 * 0.8 * 'M1 Population'!$C7)</f>
        <v>199117.00458028048</v>
      </c>
      <c r="I8" s="369">
        <f>(H7 * 0.2 * 'M1 Population'!$C6) + (H8 * 0.8 * 'M1 Population'!$C7)</f>
        <v>195226.57655521328</v>
      </c>
      <c r="J8" s="369">
        <f>(I7 * 0.2 * 'M1 Population'!$C6) + (I8 * 0.8 * 'M1 Population'!$C7)</f>
        <v>191022.3149778338</v>
      </c>
      <c r="K8" s="369">
        <f>(J7 * 0.2 * 'M1 Population'!$C6) + (J8 * 0.8 * 'M1 Population'!$C7)</f>
        <v>186618.11294509488</v>
      </c>
      <c r="L8" s="62">
        <f>(K7 * 0.2 * 'M1 Population'!$C6) + (K8 * 0.8 * 'M1 Population'!$C7)</f>
        <v>182111.15036439768</v>
      </c>
      <c r="M8" s="12"/>
      <c r="N8" s="12"/>
      <c r="O8" s="48" t="s">
        <v>81</v>
      </c>
      <c r="P8" s="372">
        <f t="shared" si="0"/>
        <v>211394</v>
      </c>
      <c r="Q8" s="372">
        <f t="shared" si="1"/>
        <v>-211394</v>
      </c>
      <c r="R8" s="372">
        <f t="shared" si="2"/>
        <v>182111.15036439768</v>
      </c>
    </row>
    <row r="9" spans="1:18" x14ac:dyDescent="0.25">
      <c r="A9" s="63" t="s">
        <v>83</v>
      </c>
      <c r="B9" s="371">
        <f>'M1 Population'!V80</f>
        <v>218686</v>
      </c>
      <c r="C9" s="369">
        <f>(B8 * 0.2 * 'M1 Population'!$C7) + (B9 * 0.8 * 'M1 Population'!$C8)</f>
        <v>217176.31095200003</v>
      </c>
      <c r="D9" s="369">
        <f>(C8 * 0.2 * 'M1 Population'!$C7) + (C9 * 0.8 * 'M1 Population'!$C8)</f>
        <v>215767.78118027773</v>
      </c>
      <c r="E9" s="369">
        <f>(D8 * 0.2 * 'M1 Population'!$C7) + (D9 * 0.8 * 'M1 Population'!$C8)</f>
        <v>214425.36208836001</v>
      </c>
      <c r="F9" s="369">
        <f>(E8 * 0.2 * 'M1 Population'!$C7) + (E9 * 0.8 * 'M1 Population'!$C8)</f>
        <v>213032.99739111439</v>
      </c>
      <c r="G9" s="369">
        <f>(F8 * 0.2 * 'M1 Population'!$C7) + (F9 * 0.8 * 'M1 Population'!$C8)</f>
        <v>211469.47470197789</v>
      </c>
      <c r="H9" s="369">
        <f>(G8 * 0.2 * 'M1 Population'!$C7) + (G9 * 0.8 * 'M1 Population'!$C8)</f>
        <v>209639.99969375361</v>
      </c>
      <c r="I9" s="369">
        <f>(H8 * 0.2 * 'M1 Population'!$C7) + (H9 * 0.8 * 'M1 Population'!$C8)</f>
        <v>207486.38864291625</v>
      </c>
      <c r="J9" s="369">
        <f>(I8 * 0.2 * 'M1 Population'!$C7) + (I9 * 0.8 * 'M1 Population'!$C8)</f>
        <v>204985.99886938781</v>
      </c>
      <c r="K9" s="369">
        <f>(J8 * 0.2 * 'M1 Population'!$C7) + (J9 * 0.8 * 'M1 Population'!$C8)</f>
        <v>202145.4997974351</v>
      </c>
      <c r="L9" s="62">
        <f>(K8 * 0.2 * 'M1 Population'!$C7) + (K9 * 0.8 * 'M1 Population'!$C8)</f>
        <v>198992.99929403639</v>
      </c>
      <c r="M9" s="12"/>
      <c r="N9" s="12"/>
      <c r="O9" s="48" t="s">
        <v>83</v>
      </c>
      <c r="P9" s="372">
        <f t="shared" si="0"/>
        <v>218686</v>
      </c>
      <c r="Q9" s="372">
        <f t="shared" si="1"/>
        <v>-218686</v>
      </c>
      <c r="R9" s="372">
        <f t="shared" si="2"/>
        <v>198992.99929403639</v>
      </c>
    </row>
    <row r="10" spans="1:18" x14ac:dyDescent="0.25">
      <c r="A10" s="63" t="s">
        <v>85</v>
      </c>
      <c r="B10" s="371">
        <f>'M1 Population'!V81</f>
        <v>263735</v>
      </c>
      <c r="C10" s="369">
        <f>(B9 * 0.2 * 'M1 Population'!$C8) + (B10 * 0.8 * 'M1 Population'!$C9)</f>
        <v>254651.40667200001</v>
      </c>
      <c r="D10" s="369">
        <f>(C9 * 0.2 * 'M1 Population'!$C8) + (C10 * 0.8 * 'M1 Population'!$C9)</f>
        <v>247084.84672747305</v>
      </c>
      <c r="E10" s="369">
        <f>(D9 * 0.2 * 'M1 Population'!$C8) + (D10 * 0.8 * 'M1 Population'!$C9)</f>
        <v>240751.77640132274</v>
      </c>
      <c r="F10" s="369">
        <f>(E9 * 0.2 * 'M1 Population'!$C8) + (E10 * 0.8 * 'M1 Population'!$C9)</f>
        <v>235418.42069501366</v>
      </c>
      <c r="G10" s="369">
        <f>(F9 * 0.2 * 'M1 Population'!$C8) + (F10 * 0.8 * 'M1 Population'!$C9)</f>
        <v>230874.61002939224</v>
      </c>
      <c r="H10" s="369">
        <f>(G9 * 0.2 * 'M1 Population'!$C8) + (G10 * 0.8 * 'M1 Population'!$C9)</f>
        <v>226928.02252271661</v>
      </c>
      <c r="I10" s="369">
        <f>(H9 * 0.2 * 'M1 Population'!$C8) + (H10 * 0.8 * 'M1 Population'!$C9)</f>
        <v>223405.89251153328</v>
      </c>
      <c r="J10" s="369">
        <f>(I9 * 0.2 * 'M1 Population'!$C8) + (I10 * 0.8 * 'M1 Population'!$C9)</f>
        <v>220158.41497695228</v>
      </c>
      <c r="K10" s="369">
        <f>(J9 * 0.2 * 'M1 Population'!$C8) + (J10 * 0.8 * 'M1 Population'!$C9)</f>
        <v>217061.25440789922</v>
      </c>
      <c r="L10" s="62">
        <f>(K9 * 0.2 * 'M1 Population'!$C8) + (K10 * 0.8 * 'M1 Population'!$C9)</f>
        <v>214016.30580075827</v>
      </c>
      <c r="M10" s="12"/>
      <c r="N10" s="12"/>
      <c r="O10" s="48" t="s">
        <v>85</v>
      </c>
      <c r="P10" s="372">
        <f t="shared" si="0"/>
        <v>263735</v>
      </c>
      <c r="Q10" s="372">
        <f t="shared" si="1"/>
        <v>-263735</v>
      </c>
      <c r="R10" s="372">
        <f t="shared" si="2"/>
        <v>214016.30580075827</v>
      </c>
    </row>
    <row r="11" spans="1:18" x14ac:dyDescent="0.25">
      <c r="A11" s="63" t="s">
        <v>86</v>
      </c>
      <c r="B11" s="371">
        <f>'M1 Population'!V82</f>
        <v>319836</v>
      </c>
      <c r="C11" s="369">
        <f>(B10 * 0.2 * 'M1 Population'!$C9) + (B11 * 0.8 * 'M1 Population'!$C10)</f>
        <v>308507.86313199997</v>
      </c>
      <c r="D11" s="369">
        <f>(C10 * 0.2 * 'M1 Population'!$C9) + (C11 * 0.8 * 'M1 Population'!$C10)</f>
        <v>297632.44249101763</v>
      </c>
      <c r="E11" s="369">
        <f>(D10 * 0.2 * 'M1 Population'!$C9) + (D11 * 0.8 * 'M1 Population'!$C10)</f>
        <v>287422.38010406768</v>
      </c>
      <c r="F11" s="369">
        <f>(E10 * 0.2 * 'M1 Population'!$C9) + (E11 * 0.8 * 'M1 Population'!$C10)</f>
        <v>277991.03661146469</v>
      </c>
      <c r="G11" s="369">
        <f>(F10 * 0.2 * 'M1 Population'!$C9) + (F11 * 0.8 * 'M1 Population'!$C10)</f>
        <v>269382.32690438873</v>
      </c>
      <c r="H11" s="369">
        <f>(G10 * 0.2 * 'M1 Population'!$C9) + (G11 * 0.8 * 'M1 Population'!$C10)</f>
        <v>261589.34894263922</v>
      </c>
      <c r="I11" s="369">
        <f>(H10 * 0.2 * 'M1 Population'!$C9) + (H11 * 0.8 * 'M1 Population'!$C10)</f>
        <v>254568.13024480786</v>
      </c>
      <c r="J11" s="369">
        <f>(I10 * 0.2 * 'M1 Population'!$C9) + (I11 * 0.8 * 'M1 Population'!$C10)</f>
        <v>248248.96272309177</v>
      </c>
      <c r="K11" s="369">
        <f>(J10 * 0.2 * 'M1 Population'!$C9) + (J11 * 0.8 * 'M1 Population'!$C10)</f>
        <v>242546.14796770102</v>
      </c>
      <c r="L11" s="62">
        <f>(K10 * 0.2 * 'M1 Population'!$C9) + (K11 * 0.8 * 'M1 Population'!$C10)</f>
        <v>237366.29228986151</v>
      </c>
      <c r="M11" s="12"/>
      <c r="N11" s="12"/>
      <c r="O11" s="48" t="s">
        <v>86</v>
      </c>
      <c r="P11" s="372">
        <f t="shared" si="0"/>
        <v>319836</v>
      </c>
      <c r="Q11" s="372">
        <f t="shared" si="1"/>
        <v>-319836</v>
      </c>
      <c r="R11" s="372">
        <f t="shared" si="2"/>
        <v>237366.29228986151</v>
      </c>
    </row>
    <row r="12" spans="1:18" x14ac:dyDescent="0.25">
      <c r="A12" s="63" t="s">
        <v>87</v>
      </c>
      <c r="B12" s="371">
        <f>'M1 Population'!V83</f>
        <v>320125</v>
      </c>
      <c r="C12" s="369">
        <f>(B11 * 0.2 * 'M1 Population'!$C10) + (B12 * 0.8 * 'M1 Population'!$C11)</f>
        <v>319910.99980799999</v>
      </c>
      <c r="D12" s="369">
        <f>(C11 * 0.2 * 'M1 Population'!$C10) + (C12 * 0.8 * 'M1 Population'!$C11)</f>
        <v>317475.07693073439</v>
      </c>
      <c r="E12" s="369">
        <f>(D11 * 0.2 * 'M1 Population'!$C10) + (D12 * 0.8 * 'M1 Population'!$C11)</f>
        <v>313353.05087492854</v>
      </c>
      <c r="F12" s="369">
        <f>(E11 * 0.2 * 'M1 Population'!$C10) + (E12 * 0.8 * 'M1 Population'!$C11)</f>
        <v>308015.86744022492</v>
      </c>
      <c r="G12" s="369">
        <f>(F11 * 0.2 * 'M1 Population'!$C10) + (F12 * 0.8 * 'M1 Population'!$C11)</f>
        <v>301862.75131898175</v>
      </c>
      <c r="H12" s="369">
        <f>(G11 * 0.2 * 'M1 Population'!$C10) + (G12 * 0.8 * 'M1 Population'!$C11)</f>
        <v>295221.69600397738</v>
      </c>
      <c r="I12" s="369">
        <f>(H11 * 0.2 * 'M1 Population'!$C10) + (H12 * 0.8 * 'M1 Population'!$C11)</f>
        <v>288353.57993304828</v>
      </c>
      <c r="J12" s="369">
        <f>(I11 * 0.2 * 'M1 Population'!$C10) + (I12 * 0.8 * 'M1 Population'!$C11)</f>
        <v>281458.20600077044</v>
      </c>
      <c r="K12" s="369">
        <f>(J11 * 0.2 * 'M1 Population'!$C10) + (J12 * 0.8 * 'M1 Population'!$C11)</f>
        <v>274681.39680622233</v>
      </c>
      <c r="L12" s="62">
        <f>(K11 * 0.2 * 'M1 Population'!$C10) + (K12 * 0.8 * 'M1 Population'!$C11)</f>
        <v>268122.61625479301</v>
      </c>
      <c r="M12" s="12"/>
      <c r="N12" s="12"/>
      <c r="O12" s="48" t="s">
        <v>87</v>
      </c>
      <c r="P12" s="372">
        <f t="shared" si="0"/>
        <v>320125</v>
      </c>
      <c r="Q12" s="372">
        <f t="shared" si="1"/>
        <v>-320125</v>
      </c>
      <c r="R12" s="372">
        <f t="shared" si="2"/>
        <v>268122.61625479301</v>
      </c>
    </row>
    <row r="13" spans="1:18" x14ac:dyDescent="0.25">
      <c r="A13" s="63" t="s">
        <v>88</v>
      </c>
      <c r="B13" s="371">
        <f>'M1 Population'!V84</f>
        <v>311772</v>
      </c>
      <c r="C13" s="369">
        <f>(B12 * 0.2 * 'M1 Population'!$C11) + (B13 * 0.8 * 'M1 Population'!$C12)</f>
        <v>313209.77292000002</v>
      </c>
      <c r="D13" s="369">
        <f>(C12 * 0.2 * 'M1 Population'!$C11) + (C13 * 0.8 * 'M1 Population'!$C12)</f>
        <v>314316.29329895118</v>
      </c>
      <c r="E13" s="369">
        <f>(D12 * 0.2 * 'M1 Population'!$C11) + (D13 * 0.8 * 'M1 Population'!$C12)</f>
        <v>314713.87018959573</v>
      </c>
      <c r="F13" s="369">
        <f>(E12 * 0.2 * 'M1 Population'!$C11) + (E13 * 0.8 * 'M1 Population'!$C12)</f>
        <v>314207.70073245</v>
      </c>
      <c r="G13" s="369">
        <f>(F12 * 0.2 * 'M1 Population'!$C11) + (F13 * 0.8 * 'M1 Population'!$C12)</f>
        <v>312736.20749532245</v>
      </c>
      <c r="H13" s="369">
        <f>(G12 * 0.2 * 'M1 Population'!$C11) + (G13 * 0.8 * 'M1 Population'!$C12)</f>
        <v>310329.97136112012</v>
      </c>
      <c r="I13" s="369">
        <f>(H12 * 0.2 * 'M1 Population'!$C11) + (H13 * 0.8 * 'M1 Population'!$C12)</f>
        <v>307079.00205163605</v>
      </c>
      <c r="J13" s="369">
        <f>(I12 * 0.2 * 'M1 Population'!$C11) + (I13 * 0.8 * 'M1 Population'!$C12)</f>
        <v>303107.39829429239</v>
      </c>
      <c r="K13" s="369">
        <f>(J12 * 0.2 * 'M1 Population'!$C11) + (J13 * 0.8 * 'M1 Population'!$C12)</f>
        <v>298554.29944725556</v>
      </c>
      <c r="L13" s="62">
        <f>(K12 * 0.2 * 'M1 Population'!$C11) + (K13 * 0.8 * 'M1 Population'!$C12)</f>
        <v>293560.07730213483</v>
      </c>
      <c r="M13" s="12"/>
      <c r="N13" s="12"/>
      <c r="O13" s="48" t="s">
        <v>88</v>
      </c>
      <c r="P13" s="372">
        <f t="shared" si="0"/>
        <v>311772</v>
      </c>
      <c r="Q13" s="372">
        <f t="shared" si="1"/>
        <v>-311772</v>
      </c>
      <c r="R13" s="372">
        <f t="shared" si="2"/>
        <v>293560.07730213483</v>
      </c>
    </row>
    <row r="14" spans="1:18" x14ac:dyDescent="0.25">
      <c r="A14" s="63" t="s">
        <v>89</v>
      </c>
      <c r="B14" s="371">
        <f>'M1 Population'!V85</f>
        <v>302015</v>
      </c>
      <c r="C14" s="369">
        <f>(B13 * 0.2 * 'M1 Population'!$C12) + (B14 * 0.8 * 'M1 Population'!$C13)</f>
        <v>303592.75640000001</v>
      </c>
      <c r="D14" s="369">
        <f>(C13 * 0.2 * 'M1 Population'!$C12) + (C14 * 0.8 * 'M1 Population'!$C13)</f>
        <v>305140.59470547206</v>
      </c>
      <c r="E14" s="369">
        <f>(D13 * 0.2 * 'M1 Population'!$C12) + (D14 * 0.8 * 'M1 Population'!$C13)</f>
        <v>306598.33309971576</v>
      </c>
      <c r="F14" s="369">
        <f>(E13 * 0.2 * 'M1 Population'!$C12) + (E14 * 0.8 * 'M1 Population'!$C13)</f>
        <v>307842.41288537852</v>
      </c>
      <c r="G14" s="369">
        <f>(F13 * 0.2 * 'M1 Population'!$C12) + (F14 * 0.8 * 'M1 Population'!$C13)</f>
        <v>308735.19015606254</v>
      </c>
      <c r="H14" s="369">
        <f>(G13 * 0.2 * 'M1 Population'!$C12) + (G14 * 0.8 * 'M1 Population'!$C13)</f>
        <v>309154.39170686796</v>
      </c>
      <c r="I14" s="369">
        <f>(H13 * 0.2 * 'M1 Population'!$C12) + (H14 * 0.8 * 'M1 Population'!$C13)</f>
        <v>309008.44133439084</v>
      </c>
      <c r="J14" s="369">
        <f>(I13 * 0.2 * 'M1 Population'!$C12) + (I14 * 0.8 * 'M1 Population'!$C13)</f>
        <v>308242.16378840117</v>
      </c>
      <c r="K14" s="369">
        <f>(J13 * 0.2 * 'M1 Population'!$C12) + (J14 * 0.8 * 'M1 Population'!$C13)</f>
        <v>306836.27790627116</v>
      </c>
      <c r="L14" s="62">
        <f>(K13 * 0.2 * 'M1 Population'!$C12) + (K14 * 0.8 * 'M1 Population'!$C13)</f>
        <v>304803.18503664096</v>
      </c>
      <c r="M14" s="12"/>
      <c r="N14" s="12"/>
      <c r="O14" s="48" t="s">
        <v>89</v>
      </c>
      <c r="P14" s="372">
        <f t="shared" si="0"/>
        <v>302015</v>
      </c>
      <c r="Q14" s="372">
        <f t="shared" si="1"/>
        <v>-302015</v>
      </c>
      <c r="R14" s="372">
        <f t="shared" si="2"/>
        <v>304803.18503664096</v>
      </c>
    </row>
    <row r="15" spans="1:18" x14ac:dyDescent="0.25">
      <c r="A15" s="48" t="s">
        <v>91</v>
      </c>
      <c r="B15" s="371">
        <f>'M1 Population'!V86</f>
        <v>308978</v>
      </c>
      <c r="C15" s="369">
        <f>(B14 * 0.2 * 'M1 Population'!$C13) + (B15 * 0.8 * 'M1 Population'!$C14)</f>
        <v>306955.71505200001</v>
      </c>
      <c r="D15" s="369">
        <f>(C14 * 0.2 * 'M1 Population'!$C13) + (C15 * 0.8 * 'M1 Population'!$C14)</f>
        <v>305656.60711295251</v>
      </c>
      <c r="E15" s="369">
        <f>(D14 * 0.2 * 'M1 Population'!$C13) + (D15 * 0.8 * 'M1 Population'!$C14)</f>
        <v>304928.78081784275</v>
      </c>
      <c r="F15" s="369">
        <f>(E14 * 0.2 * 'M1 Population'!$C13) + (E15 * 0.8 * 'M1 Population'!$C14)</f>
        <v>304638.96940621419</v>
      </c>
      <c r="G15" s="369">
        <f>(F14 * 0.2 * 'M1 Population'!$C13) + (F15 * 0.8 * 'M1 Population'!$C14)</f>
        <v>304656.11752572836</v>
      </c>
      <c r="H15" s="369">
        <f>(G14 * 0.2 * 'M1 Population'!$C13) + (G15 * 0.8 * 'M1 Population'!$C14)</f>
        <v>304848.12175610766</v>
      </c>
      <c r="I15" s="369">
        <f>(H14 * 0.2 * 'M1 Population'!$C13) + (H15 * 0.8 * 'M1 Population'!$C14)</f>
        <v>305085.11210504343</v>
      </c>
      <c r="J15" s="369">
        <f>(I14 * 0.2 * 'M1 Population'!$C13) + (I15 * 0.8 * 'M1 Population'!$C14)</f>
        <v>305245.13252953673</v>
      </c>
      <c r="K15" s="369">
        <f>(J14 * 0.2 * 'M1 Population'!$C13) + (J15 * 0.8 * 'M1 Population'!$C14)</f>
        <v>305219.81452604191</v>
      </c>
      <c r="L15" s="62">
        <f>(K14 * 0.2 * 'M1 Population'!$C13) + (K15 * 0.8 * 'M1 Population'!$C14)</f>
        <v>304918.80468901066</v>
      </c>
      <c r="M15" s="12"/>
      <c r="N15" s="12"/>
      <c r="O15" s="48" t="s">
        <v>91</v>
      </c>
      <c r="P15" s="372">
        <f t="shared" si="0"/>
        <v>308978</v>
      </c>
      <c r="Q15" s="372">
        <f t="shared" si="1"/>
        <v>-308978</v>
      </c>
      <c r="R15" s="372">
        <f t="shared" si="2"/>
        <v>304918.80468901066</v>
      </c>
    </row>
    <row r="16" spans="1:18" x14ac:dyDescent="0.25">
      <c r="A16" s="48" t="s">
        <v>92</v>
      </c>
      <c r="B16" s="373">
        <f>'M1 Population'!V87</f>
        <v>289783</v>
      </c>
      <c r="C16" s="369">
        <f>(B15 * 0.2 * 'M1 Population'!$C14) + (B16 * 0.8 * 'M1 Population'!$C15)</f>
        <v>292654.87525600003</v>
      </c>
      <c r="D16" s="369">
        <f>(C15 * 0.2 * 'M1 Population'!$C14) + (C16 * 0.8 * 'M1 Population'!$C15)</f>
        <v>294540.59131498379</v>
      </c>
      <c r="E16" s="369">
        <f>(D15 * 0.2 * 'M1 Population'!$C14) + (D16 * 0.8 * 'M1 Population'!$C15)</f>
        <v>295784.51868749328</v>
      </c>
      <c r="F16" s="369">
        <f>(E15 * 0.2 * 'M1 Population'!$C14) + (E16 * 0.8 * 'M1 Population'!$C15)</f>
        <v>296630.85587335908</v>
      </c>
      <c r="G16" s="369">
        <f>(F15 * 0.2 * 'M1 Population'!$C14) + (F16 * 0.8 * 'M1 Population'!$C15)</f>
        <v>297247.66810629243</v>
      </c>
      <c r="H16" s="369">
        <f>(G15 * 0.2 * 'M1 Population'!$C14) + (G16 * 0.8 * 'M1 Population'!$C15)</f>
        <v>297742.77335254179</v>
      </c>
      <c r="I16" s="369">
        <f>(H15 * 0.2 * 'M1 Population'!$C14) + (H16 * 0.8 * 'M1 Population'!$C15)</f>
        <v>298175.7551643136</v>
      </c>
      <c r="J16" s="369">
        <f>(I15 * 0.2 * 'M1 Population'!$C14) + (I16 * 0.8 * 'M1 Population'!$C15)</f>
        <v>298568.19339989434</v>
      </c>
      <c r="K16" s="369">
        <f>(J15 * 0.2 * 'M1 Population'!$C14) + (J16 * 0.8 * 'M1 Population'!$C15)</f>
        <v>298912.95308108244</v>
      </c>
      <c r="L16" s="62">
        <f>(K15 * 0.2 * 'M1 Population'!$C14) + (K16 * 0.8 * 'M1 Population'!$C15)</f>
        <v>299182.72107480053</v>
      </c>
      <c r="M16" s="12"/>
      <c r="N16" s="12"/>
      <c r="O16" s="48" t="s">
        <v>92</v>
      </c>
      <c r="P16" s="372">
        <f t="shared" si="0"/>
        <v>289783</v>
      </c>
      <c r="Q16" s="372">
        <f t="shared" si="1"/>
        <v>-289783</v>
      </c>
      <c r="R16" s="372">
        <f t="shared" si="2"/>
        <v>299182.72107480053</v>
      </c>
    </row>
    <row r="17" spans="1:32" x14ac:dyDescent="0.25">
      <c r="A17" s="64" t="s">
        <v>93</v>
      </c>
      <c r="B17" s="374">
        <f>'M1 Population'!V88</f>
        <v>296675</v>
      </c>
      <c r="C17" s="375">
        <f>(B16 * 0.2 * 'M1 Population'!$C15) + (B17 * 0.8 * 'M1 Population'!$C16)</f>
        <v>293674.56897200004</v>
      </c>
      <c r="D17" s="375">
        <f>(C16 * 0.2 * 'M1 Population'!$C15) + (C17 * 0.8 * 'M1 Population'!$C16)</f>
        <v>291860.84899325826</v>
      </c>
      <c r="E17" s="375">
        <f>(D16 * 0.2 * 'M1 Population'!$C15) + (D17 * 0.8 * 'M1 Population'!$C16)</f>
        <v>290794.31386622199</v>
      </c>
      <c r="F17" s="375">
        <f>(E16 * 0.2 * 'M1 Population'!$C15) + (E17 * 0.8 * 'M1 Population'!$C16)</f>
        <v>290194.06582658185</v>
      </c>
      <c r="G17" s="375">
        <f>(F16 * 0.2 * 'M1 Population'!$C15) + (F17 * 0.8 * 'M1 Population'!$C16)</f>
        <v>289885.39083727082</v>
      </c>
      <c r="H17" s="375">
        <f>(G16 * 0.2 * 'M1 Population'!$C15) + (G17 * 0.8 * 'M1 Population'!$C16)</f>
        <v>289762.84341719898</v>
      </c>
      <c r="I17" s="375">
        <f>(H16 * 0.2 * 'M1 Population'!$C15) + (H17 * 0.8 * 'M1 Population'!$C16)</f>
        <v>289764.05634113395</v>
      </c>
      <c r="J17" s="375">
        <f>(I16 * 0.2 * 'M1 Population'!$C15) + (I17 * 0.8 * 'M1 Population'!$C16)</f>
        <v>289851.30724443775</v>
      </c>
      <c r="K17" s="375">
        <f>(J16 * 0.2 * 'M1 Population'!$C15) + (J17 * 0.8 * 'M1 Population'!$C16)</f>
        <v>289998.89861611329</v>
      </c>
      <c r="L17" s="65">
        <f>(K16 * 0.2 * 'M1 Population'!$C15) + (K17 * 0.8 * 'M1 Population'!$C16)</f>
        <v>290184.97308609943</v>
      </c>
      <c r="M17" s="12"/>
      <c r="N17" s="12"/>
      <c r="O17" s="48" t="s">
        <v>93</v>
      </c>
      <c r="P17" s="372">
        <f t="shared" si="0"/>
        <v>296675</v>
      </c>
      <c r="Q17" s="372">
        <f t="shared" si="1"/>
        <v>-296675</v>
      </c>
      <c r="R17" s="372">
        <f t="shared" si="2"/>
        <v>290184.97308609943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 s="64" t="s">
        <v>94</v>
      </c>
      <c r="B18" s="374">
        <f>'M1 Population'!V89</f>
        <v>272419</v>
      </c>
      <c r="C18" s="375">
        <f>(B17 * 0.2 * 'M1 Population'!$C16) + (B18 * 0.8 * 'M1 Population'!$C17)</f>
        <v>274820.02677600004</v>
      </c>
      <c r="D18" s="375">
        <f>(C17 * 0.2 * 'M1 Population'!$C16) + (C18 * 0.8 * 'M1 Population'!$C17)</f>
        <v>276125.86020291736</v>
      </c>
      <c r="E18" s="375">
        <f>(D17 * 0.2 * 'M1 Population'!$C16) + (D18 * 0.8 * 'M1 Population'!$C17)</f>
        <v>276799.89520886395</v>
      </c>
      <c r="F18" s="375">
        <f>(E17 * 0.2 * 'M1 Population'!$C16) + (E18 * 0.8 * 'M1 Population'!$C17)</f>
        <v>277121.90012467961</v>
      </c>
      <c r="G18" s="375">
        <f>(F17 * 0.2 * 'M1 Population'!$C16) + (F18 * 0.8 * 'M1 Population'!$C17)</f>
        <v>277257.69179523527</v>
      </c>
      <c r="H18" s="375">
        <f>(G17 * 0.2 * 'M1 Population'!$C16) + (G18 * 0.8 * 'M1 Population'!$C17)</f>
        <v>277303.91302170826</v>
      </c>
      <c r="I18" s="375">
        <f>(H17 * 0.2 * 'M1 Population'!$C16) + (H18 * 0.8 * 'M1 Population'!$C17)</f>
        <v>277316.17087683809</v>
      </c>
      <c r="J18" s="375">
        <f>(I17 * 0.2 * 'M1 Population'!$C16) + (I18 * 0.8 * 'M1 Population'!$C17)</f>
        <v>277326.12396347051</v>
      </c>
      <c r="K18" s="375">
        <f>(J17 * 0.2 * 'M1 Population'!$C16) + (J18 * 0.8 * 'M1 Population'!$C17)</f>
        <v>277351.35601140576</v>
      </c>
      <c r="L18" s="65">
        <f>(K17 * 0.2 * 'M1 Population'!$C16) + (K18 * 0.8 * 'M1 Population'!$C17)</f>
        <v>277400.68980933313</v>
      </c>
      <c r="M18" s="12"/>
      <c r="N18" s="12"/>
      <c r="O18" s="48" t="s">
        <v>94</v>
      </c>
      <c r="P18" s="372">
        <f t="shared" si="0"/>
        <v>272419</v>
      </c>
      <c r="Q18" s="372">
        <f t="shared" si="1"/>
        <v>-272419</v>
      </c>
      <c r="R18" s="372">
        <f t="shared" si="2"/>
        <v>277400.68980933313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64" t="s">
        <v>95</v>
      </c>
      <c r="B19" s="374">
        <f>'M1 Population'!V90</f>
        <v>214617</v>
      </c>
      <c r="C19" s="375">
        <f>(B18 * 0.2 * 'M1 Population'!$C17) + (B19 * 0.8 * 'M1 Population'!$C18)</f>
        <v>223019.48602000001</v>
      </c>
      <c r="D19" s="375">
        <f>(C18 * 0.2 * 'M1 Population'!$C17) + (C19 * 0.8 * 'M1 Population'!$C18)</f>
        <v>230113.94530724559</v>
      </c>
      <c r="E19" s="375">
        <f>(D18 * 0.2 * 'M1 Population'!$C17) + (D19 * 0.8 * 'M1 Population'!$C18)</f>
        <v>235961.10379453903</v>
      </c>
      <c r="F19" s="375">
        <f>(E18 * 0.2 * 'M1 Population'!$C17) + (E19 * 0.8 * 'M1 Population'!$C18)</f>
        <v>240700.58441325562</v>
      </c>
      <c r="G19" s="375">
        <f>(F18 * 0.2 * 'M1 Population'!$C17) + (F19 * 0.8 * 'M1 Population'!$C18)</f>
        <v>244497.7874477811</v>
      </c>
      <c r="H19" s="375">
        <f>(G18 * 0.2 * 'M1 Population'!$C17) + (G19 * 0.8 * 'M1 Population'!$C18)</f>
        <v>247515.84767069874</v>
      </c>
      <c r="I19" s="375">
        <f>(H18 * 0.2 * 'M1 Population'!$C17) + (H19 * 0.8 * 'M1 Population'!$C18)</f>
        <v>249902.41352963209</v>
      </c>
      <c r="J19" s="375">
        <f>(I18 * 0.2 * 'M1 Population'!$C17) + (I19 * 0.8 * 'M1 Population'!$C18)</f>
        <v>251784.80626747065</v>
      </c>
      <c r="K19" s="375">
        <f>(J18 * 0.2 * 'M1 Population'!$C17) + (J19 * 0.8 * 'M1 Population'!$C18)</f>
        <v>253269.5912016505</v>
      </c>
      <c r="L19" s="65">
        <f>(K18 * 0.2 * 'M1 Population'!$C17) + (K19 * 0.8 * 'M1 Population'!$C18)</f>
        <v>254444.19573140895</v>
      </c>
      <c r="M19" s="12"/>
      <c r="N19" s="12"/>
      <c r="O19" s="48" t="s">
        <v>95</v>
      </c>
      <c r="P19" s="372">
        <f t="shared" si="0"/>
        <v>214617</v>
      </c>
      <c r="Q19" s="372">
        <f t="shared" si="1"/>
        <v>-214617</v>
      </c>
      <c r="R19" s="372">
        <f t="shared" si="2"/>
        <v>254444.19573140895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64" t="s">
        <v>96</v>
      </c>
      <c r="B20" s="374">
        <f>'M1 Population'!V91</f>
        <v>152820</v>
      </c>
      <c r="C20" s="375">
        <f>(B19 * 0.2 * 'M1 Population'!$C18) + (B20 * 0.8 * 'M1 Population'!$C19)</f>
        <v>161261.61008399999</v>
      </c>
      <c r="D20" s="375">
        <f>(C19 * 0.2 * 'M1 Population'!$C18) + (C20 * 0.8 * 'M1 Population'!$C19)</f>
        <v>169489.57386821907</v>
      </c>
      <c r="E20" s="375">
        <f>(D19 * 0.2 * 'M1 Population'!$C18) + (D20 * 0.8 * 'M1 Population'!$C19)</f>
        <v>177293.58494036039</v>
      </c>
      <c r="F20" s="375">
        <f>(E19 * 0.2 * 'M1 Population'!$C18) + (E20 * 0.8 * 'M1 Population'!$C19)</f>
        <v>184521.8424651465</v>
      </c>
      <c r="G20" s="375">
        <f>(F19 * 0.2 * 'M1 Population'!$C18) + (F20 * 0.8 * 'M1 Population'!$C19)</f>
        <v>191083.63960569183</v>
      </c>
      <c r="H20" s="375">
        <f>(G19 * 0.2 * 'M1 Population'!$C18) + (G20 * 0.8 * 'M1 Population'!$C19)</f>
        <v>196940.91809670968</v>
      </c>
      <c r="I20" s="375">
        <f>(H19 * 0.2 * 'M1 Population'!$C18) + (H20 * 0.8 * 'M1 Population'!$C19)</f>
        <v>202096.16948968716</v>
      </c>
      <c r="J20" s="375">
        <f>(I19 * 0.2 * 'M1 Population'!$C18) + (I20 * 0.8 * 'M1 Population'!$C19)</f>
        <v>206580.4105900912</v>
      </c>
      <c r="K20" s="375">
        <f>(J19 * 0.2 * 'M1 Population'!$C18) + (J20 * 0.8 * 'M1 Population'!$C19)</f>
        <v>210442.86694287302</v>
      </c>
      <c r="L20" s="65">
        <f>(K19 * 0.2 * 'M1 Population'!$C18) + (K20 * 0.8 * 'M1 Population'!$C19)</f>
        <v>213742.85522266425</v>
      </c>
      <c r="M20" s="12"/>
      <c r="N20" s="12"/>
      <c r="O20" s="48" t="s">
        <v>96</v>
      </c>
      <c r="P20" s="372">
        <f t="shared" si="0"/>
        <v>152820</v>
      </c>
      <c r="Q20" s="372">
        <f t="shared" si="1"/>
        <v>-152820</v>
      </c>
      <c r="R20" s="372">
        <f>L20</f>
        <v>213742.85522266425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 s="64" t="s">
        <v>97</v>
      </c>
      <c r="B21" s="374">
        <f>'M1 Population'!V92</f>
        <v>74810</v>
      </c>
      <c r="C21" s="375">
        <f>(B20 * 0.2 * 'M1 Population'!$C19) + (B21 * 0.8 * 'M1 Population'!$C20)</f>
        <v>86605.960720000003</v>
      </c>
      <c r="D21" s="375">
        <f>(C20 * 0.2 * 'M1 Population'!$C19) + (C21 * 0.8 * 'M1 Population'!$C20)</f>
        <v>97214.390954403614</v>
      </c>
      <c r="E21" s="375">
        <f>(D20 * 0.2 * 'M1 Population'!$C19) + (D21 * 0.8 * 'M1 Population'!$C20)</f>
        <v>106878.6889213805</v>
      </c>
      <c r="F21" s="375">
        <f>(E20 * 0.2 * 'M1 Population'!$C19) + (E21 * 0.8 * 'M1 Population'!$C20)</f>
        <v>115742.901232442</v>
      </c>
      <c r="G21" s="375">
        <f>(F20 * 0.2 * 'M1 Population'!$C19) + (F21 * 0.8 * 'M1 Population'!$C20)</f>
        <v>123886.95485208079</v>
      </c>
      <c r="H21" s="375">
        <f>(G20 * 0.2 * 'M1 Population'!$C19) + (G21 * 0.8 * 'M1 Population'!$C20)</f>
        <v>131353.93783361986</v>
      </c>
      <c r="I21" s="375">
        <f>(H20 * 0.2 * 'M1 Population'!$C19) + (H21 * 0.8 * 'M1 Population'!$C20)</f>
        <v>138169.1890606067</v>
      </c>
      <c r="J21" s="375">
        <f>(I20 * 0.2 * 'M1 Population'!$C19) + (I21 * 0.8 * 'M1 Population'!$C20)</f>
        <v>144352.45151530448</v>
      </c>
      <c r="K21" s="375">
        <f>(J20 * 0.2 * 'M1 Population'!$C19) + (J21 * 0.8 * 'M1 Population'!$C20)</f>
        <v>149924.76815960751</v>
      </c>
      <c r="L21" s="65">
        <f>(K20 * 0.2 * 'M1 Population'!$C19) + (K21 * 0.8 * 'M1 Population'!$C20)</f>
        <v>154911.71461962746</v>
      </c>
      <c r="M21" s="12"/>
      <c r="N21" s="12"/>
      <c r="O21" s="48" t="s">
        <v>97</v>
      </c>
      <c r="P21" s="372">
        <f>B21</f>
        <v>74810</v>
      </c>
      <c r="Q21" s="372">
        <f t="shared" si="1"/>
        <v>-74810</v>
      </c>
      <c r="R21" s="372">
        <f t="shared" si="2"/>
        <v>154911.71461962746</v>
      </c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 s="64" t="s">
        <v>98</v>
      </c>
      <c r="B22" s="374">
        <f>'M1 Population'!V93</f>
        <v>47550</v>
      </c>
      <c r="C22" s="375">
        <f>(B21 * 0.2 * 'M1 Population'!$C20) + (B22 * 0.8 * 'M1 Population'!$C21)</f>
        <v>48758.323240000005</v>
      </c>
      <c r="D22" s="375">
        <f>(C21 * 0.2 * 'M1 Population'!$C20) + (C22 * 0.8 * 'M1 Population'!$C21)</f>
        <v>51877.42562803808</v>
      </c>
      <c r="E22" s="375">
        <f>(D21 * 0.2 * 'M1 Population'!$C20) + (D22 * 0.8 * 'M1 Population'!$C21)</f>
        <v>56159.035309157611</v>
      </c>
      <c r="F22" s="375">
        <f>(E21 * 0.2 * 'M1 Population'!$C20) + (E22 * 0.8 * 'M1 Population'!$C21)</f>
        <v>61105.794381214808</v>
      </c>
      <c r="G22" s="375">
        <f>(F21 * 0.2 * 'M1 Population'!$C20) + (F22 * 0.8 * 'M1 Population'!$C21)</f>
        <v>66383.751707833842</v>
      </c>
      <c r="H22" s="375">
        <f>(G21 * 0.2 * 'M1 Population'!$C20) + (G22 * 0.8 * 'M1 Population'!$C21)</f>
        <v>71765.484910421888</v>
      </c>
      <c r="I22" s="375">
        <f>(H21 * 0.2 * 'M1 Population'!$C20) + (H22 * 0.8 * 'M1 Population'!$C21)</f>
        <v>77093.963081862399</v>
      </c>
      <c r="J22" s="375">
        <f>(I21 * 0.2 * 'M1 Population'!$C20) + (I22 * 0.8 * 'M1 Population'!$C21)</f>
        <v>82259.920897982913</v>
      </c>
      <c r="K22" s="375">
        <f>(J21 * 0.2 * 'M1 Population'!$C20) + (J22 * 0.8 * 'M1 Population'!$C21)</f>
        <v>87187.730531680543</v>
      </c>
      <c r="L22" s="65">
        <f>(K21 * 0.2 * 'M1 Population'!$C20) + (K22 * 0.8 * 'M1 Population'!$C21)</f>
        <v>91826.44812605335</v>
      </c>
      <c r="M22" s="12"/>
      <c r="N22" s="12"/>
      <c r="O22" s="48" t="s">
        <v>98</v>
      </c>
      <c r="P22" s="372">
        <f t="shared" si="0"/>
        <v>47550</v>
      </c>
      <c r="Q22" s="372">
        <f t="shared" si="1"/>
        <v>-47550</v>
      </c>
      <c r="R22" s="372">
        <f t="shared" si="2"/>
        <v>91826.44812605335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66" t="s">
        <v>99</v>
      </c>
      <c r="B23" s="376">
        <f>'M1 Population'!V94</f>
        <v>27360</v>
      </c>
      <c r="C23" s="377">
        <f>(B22*0.2*'M1 Population'!$C$21) + (B23*'M1 Population'!$C$22)</f>
        <v>31383.135000000002</v>
      </c>
      <c r="D23" s="377">
        <f>(C22*0.2*'M1 Population'!$C$21) + (C23*'M1 Population'!$C$22)</f>
        <v>34947.425105848801</v>
      </c>
      <c r="E23" s="377">
        <f>(D22*0.2*'M1 Population'!$C$21) + (D23*'M1 Population'!$C$22)</f>
        <v>38477.26727556697</v>
      </c>
      <c r="F23" s="377">
        <f>(E22*0.2*'M1 Population'!$C$21) + (E23*'M1 Population'!$C$22)</f>
        <v>42189.60400575558</v>
      </c>
      <c r="G23" s="377">
        <f>(F22*0.2*'M1 Population'!$C$21) + (F23*'M1 Population'!$C$22)</f>
        <v>46174.471145901422</v>
      </c>
      <c r="H23" s="377">
        <f>(G22*0.2*'M1 Population'!$C$21) + (G23*'M1 Population'!$C$22)</f>
        <v>50446.072295879225</v>
      </c>
      <c r="I23" s="377">
        <f>(H22*0.2*'M1 Population'!$C$21) + (H23*'M1 Population'!$C$22)</f>
        <v>54974.911876224811</v>
      </c>
      <c r="J23" s="377">
        <f>(I22*0.2*'M1 Population'!$C$21) + (I23*'M1 Population'!$C$22)</f>
        <v>59707.947308821153</v>
      </c>
      <c r="K23" s="377">
        <f>(J22*0.2*'M1 Population'!$C$21) + (J23*'M1 Population'!$C$22)</f>
        <v>64581.234226045563</v>
      </c>
      <c r="L23" s="67">
        <f>(K22*0.2*'M1 Population'!$C$21) + (K23*'M1 Population'!$C$22)</f>
        <v>69527.873754698099</v>
      </c>
      <c r="M23" s="12"/>
      <c r="N23" s="12"/>
      <c r="O23" s="48" t="s">
        <v>99</v>
      </c>
      <c r="P23" s="372">
        <f t="shared" si="0"/>
        <v>27360</v>
      </c>
      <c r="Q23" s="372">
        <f t="shared" si="1"/>
        <v>-27360</v>
      </c>
      <c r="R23" s="372">
        <f t="shared" si="2"/>
        <v>69527.873754698099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 s="378" t="s">
        <v>110</v>
      </c>
      <c r="B24" s="379">
        <f>SUM(B4:B23)</f>
        <v>4204515</v>
      </c>
      <c r="C24" s="379">
        <f>SUM(C4:C23)</f>
        <v>4204434.3867392102</v>
      </c>
      <c r="D24" s="379">
        <f t="shared" ref="D24:K24" si="3">SUM(D4:D23)</f>
        <v>4201944.9587211395</v>
      </c>
      <c r="E24" s="379">
        <f t="shared" si="3"/>
        <v>4197066.7773609962</v>
      </c>
      <c r="F24" s="379">
        <f t="shared" si="3"/>
        <v>4189808.2713679094</v>
      </c>
      <c r="G24" s="379">
        <f t="shared" si="3"/>
        <v>4180178.9179879623</v>
      </c>
      <c r="H24" s="379">
        <f t="shared" si="3"/>
        <v>4168197.5558233554</v>
      </c>
      <c r="I24" s="379">
        <f t="shared" si="3"/>
        <v>4153896.3324602423</v>
      </c>
      <c r="J24" s="379">
        <f t="shared" si="3"/>
        <v>4137321.9598965519</v>
      </c>
      <c r="K24" s="379">
        <f t="shared" si="3"/>
        <v>4118535.3396630674</v>
      </c>
      <c r="L24" s="68">
        <f>SUM(L4:L23)</f>
        <v>4097610.233249445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438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x14ac:dyDescent="0.25">
      <c r="A27" s="327" t="s">
        <v>111</v>
      </c>
      <c r="B27" s="367">
        <v>2005</v>
      </c>
      <c r="C27" s="367">
        <v>2006</v>
      </c>
      <c r="D27" s="367">
        <v>2007</v>
      </c>
      <c r="E27" s="367">
        <v>2008</v>
      </c>
      <c r="F27" s="367">
        <v>2009</v>
      </c>
      <c r="G27" s="367">
        <v>2010</v>
      </c>
      <c r="H27" s="367">
        <v>2011</v>
      </c>
      <c r="I27" s="367">
        <v>2012</v>
      </c>
      <c r="J27" s="367">
        <v>2013</v>
      </c>
      <c r="K27" s="367">
        <v>2014</v>
      </c>
      <c r="L27" s="367">
        <v>2015</v>
      </c>
      <c r="M27" s="367">
        <v>2016</v>
      </c>
      <c r="N27" s="367">
        <v>2017</v>
      </c>
      <c r="O27" s="367">
        <v>2018</v>
      </c>
      <c r="P27" s="367">
        <v>2019</v>
      </c>
      <c r="Q27" s="367">
        <v>2020</v>
      </c>
      <c r="R27" s="367">
        <v>2021</v>
      </c>
      <c r="S27" s="367">
        <v>2022</v>
      </c>
      <c r="T27" s="367">
        <v>2023</v>
      </c>
      <c r="U27" s="367">
        <v>2024</v>
      </c>
      <c r="V27" s="367">
        <v>2025</v>
      </c>
      <c r="W27" s="367">
        <v>2026</v>
      </c>
      <c r="X27" s="367">
        <v>2027</v>
      </c>
      <c r="Y27" s="367">
        <v>2028</v>
      </c>
      <c r="Z27" s="367">
        <v>2029</v>
      </c>
      <c r="AA27" s="367">
        <v>2030</v>
      </c>
      <c r="AB27" s="367">
        <v>2031</v>
      </c>
      <c r="AC27" s="367">
        <v>2032</v>
      </c>
      <c r="AD27" s="367">
        <v>2033</v>
      </c>
      <c r="AE27" s="367">
        <v>2034</v>
      </c>
      <c r="AF27" s="367">
        <v>2035</v>
      </c>
    </row>
    <row r="28" spans="1:32" x14ac:dyDescent="0.25">
      <c r="A28" s="69" t="s">
        <v>112</v>
      </c>
      <c r="B28" s="380">
        <f>SUM('M1 Population'!B79:B88)</f>
        <v>2492802</v>
      </c>
      <c r="C28" s="380">
        <f>SUM('M1 Population'!C79:C88)</f>
        <v>2545003</v>
      </c>
      <c r="D28" s="380">
        <f>SUM('M1 Population'!D79:D88)</f>
        <v>2599037</v>
      </c>
      <c r="E28" s="380">
        <f>SUM('M1 Population'!E79:E88)</f>
        <v>2655562</v>
      </c>
      <c r="F28" s="380">
        <f>SUM('M1 Population'!F79:F88)</f>
        <v>2735893</v>
      </c>
      <c r="G28" s="380">
        <f>SUM('M1 Population'!G79:G88)</f>
        <v>2778925</v>
      </c>
      <c r="H28" s="380">
        <f>SUM('M1 Population'!H79:H88)</f>
        <v>2799702</v>
      </c>
      <c r="I28" s="380">
        <f>SUM('M1 Population'!I79:I88)</f>
        <v>2813252</v>
      </c>
      <c r="J28" s="380">
        <f>SUM('M1 Population'!J79:J88)</f>
        <v>2825071</v>
      </c>
      <c r="K28" s="380">
        <f>SUM('M1 Population'!K79:K88)</f>
        <v>2831183</v>
      </c>
      <c r="L28" s="380">
        <f>SUM('M1 Population'!L79:L88)</f>
        <v>2840560</v>
      </c>
      <c r="M28" s="380">
        <f>SUM('M1 Population'!M79:M88)</f>
        <v>2849825</v>
      </c>
      <c r="N28" s="380">
        <f>SUM('M1 Population'!N79:N88)</f>
        <v>2854623</v>
      </c>
      <c r="O28" s="380">
        <f>SUM('M1 Population'!O79:O88)</f>
        <v>2855305</v>
      </c>
      <c r="P28" s="380">
        <f>SUM('M1 Population'!P79:P88)</f>
        <v>2853473</v>
      </c>
      <c r="Q28" s="380">
        <f>SUM('M1 Population'!Q79:Q88)</f>
        <v>2841636</v>
      </c>
      <c r="R28" s="380">
        <f>SUM('M1 Population'!R79:R88)</f>
        <v>2770646</v>
      </c>
      <c r="S28" s="380">
        <f>SUM('M1 Population'!S79:S88)</f>
        <v>2813282</v>
      </c>
      <c r="T28" s="380">
        <f>SUM('M1 Population'!T79:T88)</f>
        <v>2849709</v>
      </c>
      <c r="U28" s="380">
        <f>SUM('M1 Population'!U79:U88)</f>
        <v>2849994</v>
      </c>
      <c r="V28" s="380">
        <f t="shared" ref="V28:AF28" si="4">SUM(B8:B17)</f>
        <v>2842999</v>
      </c>
      <c r="W28" s="380">
        <f t="shared" si="4"/>
        <v>2820722.705972</v>
      </c>
      <c r="X28" s="380">
        <f t="shared" si="4"/>
        <v>2798783.953497306</v>
      </c>
      <c r="Y28" s="380">
        <f t="shared" si="4"/>
        <v>2776487.4703978235</v>
      </c>
      <c r="Z28" s="380">
        <f t="shared" si="4"/>
        <v>2753437.4248062763</v>
      </c>
      <c r="AA28" s="380">
        <f t="shared" si="4"/>
        <v>2729419.4127606382</v>
      </c>
      <c r="AB28" s="380">
        <f t="shared" si="4"/>
        <v>2704334.1733372039</v>
      </c>
      <c r="AC28" s="380">
        <f t="shared" si="4"/>
        <v>2678152.9348840369</v>
      </c>
      <c r="AD28" s="380">
        <f t="shared" si="4"/>
        <v>2650888.0928045986</v>
      </c>
      <c r="AE28" s="380">
        <f t="shared" si="4"/>
        <v>2622574.655501117</v>
      </c>
      <c r="AF28" s="380">
        <f t="shared" si="4"/>
        <v>2593259.1251925332</v>
      </c>
    </row>
    <row r="29" spans="1:32" x14ac:dyDescent="0.25">
      <c r="A29" s="69" t="s">
        <v>113</v>
      </c>
      <c r="B29" s="380">
        <f>SUM('M1 Population'!B89:B94)</f>
        <v>279693</v>
      </c>
      <c r="C29" s="380">
        <f>SUM('M1 Population'!C89:C94)</f>
        <v>294726</v>
      </c>
      <c r="D29" s="380">
        <f>SUM('M1 Population'!D89:D94)</f>
        <v>305586</v>
      </c>
      <c r="E29" s="380">
        <f>SUM('M1 Population'!E89:E94)</f>
        <v>315790</v>
      </c>
      <c r="F29" s="380">
        <f>SUM('M1 Population'!F89:F94)</f>
        <v>330132</v>
      </c>
      <c r="G29" s="380">
        <f>SUM('M1 Population'!G89:G94)</f>
        <v>338387</v>
      </c>
      <c r="H29" s="380">
        <f>SUM('M1 Population'!H89:H94)</f>
        <v>352645</v>
      </c>
      <c r="I29" s="380">
        <f>SUM('M1 Population'!I89:I94)</f>
        <v>378636</v>
      </c>
      <c r="J29" s="380">
        <f>SUM('M1 Population'!J89:J94)</f>
        <v>404437</v>
      </c>
      <c r="K29" s="380">
        <f>SUM('M1 Population'!K89:K94)</f>
        <v>431601</v>
      </c>
      <c r="L29" s="380">
        <f>SUM('M1 Population'!L89:L94)</f>
        <v>459715</v>
      </c>
      <c r="M29" s="380">
        <f>SUM('M1 Population'!M89:M94)</f>
        <v>487570</v>
      </c>
      <c r="N29" s="380">
        <f>SUM('M1 Population'!N89:N94)</f>
        <v>516692</v>
      </c>
      <c r="O29" s="380">
        <f>SUM('M1 Population'!O89:O94)</f>
        <v>547854</v>
      </c>
      <c r="P29" s="380">
        <f>SUM('M1 Population'!P89:P94)</f>
        <v>581680</v>
      </c>
      <c r="Q29" s="380">
        <f>SUM('M1 Population'!Q89:Q94)</f>
        <v>614368</v>
      </c>
      <c r="R29" s="380">
        <f>SUM('M1 Population'!R89:R94)</f>
        <v>639008</v>
      </c>
      <c r="S29" s="380">
        <f>SUM('M1 Population'!S89:S94)</f>
        <v>678133</v>
      </c>
      <c r="T29" s="380">
        <f>SUM('M1 Population'!T89:T94)</f>
        <v>717843</v>
      </c>
      <c r="U29" s="380">
        <f>SUM('M1 Population'!U89:U94)</f>
        <v>753905</v>
      </c>
      <c r="V29" s="380">
        <f t="shared" ref="V29:AF29" si="5">SUM(B18:B23)</f>
        <v>789576</v>
      </c>
      <c r="W29" s="380">
        <f t="shared" si="5"/>
        <v>825848.54184000008</v>
      </c>
      <c r="X29" s="380">
        <f t="shared" si="5"/>
        <v>859768.62106667249</v>
      </c>
      <c r="Y29" s="380">
        <f t="shared" si="5"/>
        <v>891569.57544986834</v>
      </c>
      <c r="Z29" s="380">
        <f t="shared" si="5"/>
        <v>921382.62662249419</v>
      </c>
      <c r="AA29" s="380">
        <f t="shared" si="5"/>
        <v>949284.29655452422</v>
      </c>
      <c r="AB29" s="380">
        <f t="shared" si="5"/>
        <v>975326.1738290377</v>
      </c>
      <c r="AC29" s="380">
        <f t="shared" si="5"/>
        <v>999552.81791485124</v>
      </c>
      <c r="AD29" s="380">
        <f t="shared" si="5"/>
        <v>1022011.660543141</v>
      </c>
      <c r="AE29" s="380">
        <f t="shared" si="5"/>
        <v>1042757.5470732629</v>
      </c>
      <c r="AF29" s="380">
        <f t="shared" si="5"/>
        <v>1061853.7772637852</v>
      </c>
    </row>
    <row r="30" spans="1:32" x14ac:dyDescent="0.25">
      <c r="A30" s="69" t="s">
        <v>114</v>
      </c>
      <c r="B30" s="380">
        <f>(B29/B28)*100</f>
        <v>11.220024695102138</v>
      </c>
      <c r="C30" s="380">
        <f>(C29/C28)*100</f>
        <v>11.580575739989305</v>
      </c>
      <c r="D30" s="380">
        <f t="shared" ref="D30:U30" si="6">(D29/D28)*100</f>
        <v>11.757662549628959</v>
      </c>
      <c r="E30" s="380">
        <f t="shared" si="6"/>
        <v>11.891644781782539</v>
      </c>
      <c r="F30" s="380">
        <f t="shared" si="6"/>
        <v>12.066699976936231</v>
      </c>
      <c r="G30" s="380">
        <f t="shared" si="6"/>
        <v>12.176902939086158</v>
      </c>
      <c r="H30" s="380">
        <f t="shared" si="6"/>
        <v>12.595804839229318</v>
      </c>
      <c r="I30" s="380">
        <f t="shared" si="6"/>
        <v>13.459014691893936</v>
      </c>
      <c r="J30" s="380">
        <f t="shared" si="6"/>
        <v>14.315994182093123</v>
      </c>
      <c r="K30" s="380">
        <f t="shared" si="6"/>
        <v>15.244546184404188</v>
      </c>
      <c r="L30" s="380">
        <f t="shared" si="6"/>
        <v>16.183956684597405</v>
      </c>
      <c r="M30" s="380">
        <f t="shared" si="6"/>
        <v>17.108769836744361</v>
      </c>
      <c r="N30" s="380">
        <f t="shared" si="6"/>
        <v>18.100183456799723</v>
      </c>
      <c r="O30" s="380">
        <f t="shared" si="6"/>
        <v>19.187232187104357</v>
      </c>
      <c r="P30" s="380">
        <f t="shared" si="6"/>
        <v>20.384983492046359</v>
      </c>
      <c r="Q30" s="380">
        <f t="shared" si="6"/>
        <v>21.620221590661153</v>
      </c>
      <c r="R30" s="380">
        <f t="shared" si="6"/>
        <v>23.063502157980487</v>
      </c>
      <c r="S30" s="380">
        <f t="shared" si="6"/>
        <v>24.104693379476355</v>
      </c>
      <c r="T30" s="380">
        <f t="shared" si="6"/>
        <v>25.190045720457771</v>
      </c>
      <c r="U30" s="380">
        <f t="shared" si="6"/>
        <v>26.45286270778114</v>
      </c>
      <c r="V30" s="380">
        <f>(V29/V28)*100</f>
        <v>27.772644309758814</v>
      </c>
      <c r="W30" s="380">
        <f t="shared" ref="W30:AF30" si="7">(W29/W28)*100</f>
        <v>29.277905981028319</v>
      </c>
      <c r="X30" s="380">
        <f t="shared" si="7"/>
        <v>30.719363671937678</v>
      </c>
      <c r="Y30" s="380">
        <f t="shared" si="7"/>
        <v>32.111420813367531</v>
      </c>
      <c r="Z30" s="380">
        <f t="shared" si="7"/>
        <v>33.462994957559999</v>
      </c>
      <c r="AA30" s="380">
        <f t="shared" si="7"/>
        <v>34.779715133424006</v>
      </c>
      <c r="AB30" s="380">
        <f t="shared" si="7"/>
        <v>36.065297826173051</v>
      </c>
      <c r="AC30" s="380">
        <f t="shared" si="7"/>
        <v>37.322469710197169</v>
      </c>
      <c r="AD30" s="380">
        <f t="shared" si="7"/>
        <v>38.553557327343398</v>
      </c>
      <c r="AE30" s="380">
        <f t="shared" si="7"/>
        <v>39.760833686315578</v>
      </c>
      <c r="AF30" s="380">
        <f t="shared" si="7"/>
        <v>40.946690091563809</v>
      </c>
    </row>
    <row r="31" spans="1:32" x14ac:dyDescent="0.25">
      <c r="A31" s="56"/>
      <c r="B31" s="381"/>
      <c r="C31" s="38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x14ac:dyDescent="0.25">
      <c r="A32" s="12"/>
      <c r="B32" s="13" t="s">
        <v>115</v>
      </c>
      <c r="C32" s="13" t="s">
        <v>116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2" x14ac:dyDescent="0.25">
      <c r="A33" s="13">
        <v>2005</v>
      </c>
      <c r="B33" s="381">
        <f>'M1 Population'!B95</f>
        <v>3467814</v>
      </c>
    </row>
    <row r="34" spans="1:2" x14ac:dyDescent="0.25">
      <c r="A34" s="13">
        <v>2006</v>
      </c>
      <c r="B34" s="381">
        <f>'M1 Population'!C95</f>
        <v>3525894</v>
      </c>
    </row>
    <row r="35" spans="1:2" x14ac:dyDescent="0.25">
      <c r="A35" s="13">
        <v>2007</v>
      </c>
      <c r="B35" s="381">
        <f>'M1 Population'!D95</f>
        <v>3583082</v>
      </c>
    </row>
    <row r="36" spans="1:2" x14ac:dyDescent="0.25">
      <c r="A36" s="13">
        <v>2008</v>
      </c>
      <c r="B36" s="381">
        <f>'M1 Population'!E95</f>
        <v>3642659</v>
      </c>
    </row>
    <row r="37" spans="1:2" x14ac:dyDescent="0.25">
      <c r="A37" s="13">
        <v>2009</v>
      </c>
      <c r="B37" s="381">
        <f>'M1 Population'!F95</f>
        <v>3733876</v>
      </c>
    </row>
    <row r="38" spans="1:2" x14ac:dyDescent="0.25">
      <c r="A38" s="13">
        <v>2010</v>
      </c>
      <c r="B38" s="381">
        <f>'M1 Population'!G95</f>
        <v>3771721</v>
      </c>
    </row>
    <row r="39" spans="1:2" x14ac:dyDescent="0.25">
      <c r="A39" s="13">
        <v>2011</v>
      </c>
      <c r="B39" s="381">
        <f>'M1 Population'!H95</f>
        <v>3789251</v>
      </c>
    </row>
    <row r="40" spans="1:2" x14ac:dyDescent="0.25">
      <c r="A40" s="13">
        <v>2012</v>
      </c>
      <c r="B40" s="381">
        <f>'M1 Population'!I95</f>
        <v>3818205</v>
      </c>
    </row>
    <row r="41" spans="1:2" x14ac:dyDescent="0.25">
      <c r="A41" s="13">
        <v>2013</v>
      </c>
      <c r="B41" s="381">
        <f>'M1 Population'!J95</f>
        <v>3844751</v>
      </c>
    </row>
    <row r="42" spans="1:2" x14ac:dyDescent="0.25">
      <c r="A42" s="13">
        <v>2014</v>
      </c>
      <c r="B42" s="381">
        <f>'M1 Population'!K95</f>
        <v>3870739</v>
      </c>
    </row>
    <row r="43" spans="1:2" x14ac:dyDescent="0.25">
      <c r="A43" s="13">
        <v>2015</v>
      </c>
      <c r="B43" s="381">
        <f>'M1 Population'!L95</f>
        <v>3902690</v>
      </c>
    </row>
    <row r="44" spans="1:2" x14ac:dyDescent="0.25">
      <c r="A44" s="13">
        <v>2016</v>
      </c>
      <c r="B44" s="381">
        <f>'M1 Population'!M95</f>
        <v>3933559</v>
      </c>
    </row>
    <row r="45" spans="1:2" x14ac:dyDescent="0.25">
      <c r="A45" s="13">
        <v>2017</v>
      </c>
      <c r="B45" s="381">
        <f>'M1 Population'!N95</f>
        <v>3965796</v>
      </c>
    </row>
    <row r="46" spans="1:2" x14ac:dyDescent="0.25">
      <c r="A46" s="13">
        <v>2018</v>
      </c>
      <c r="B46" s="381">
        <f>'M1 Population'!O95</f>
        <v>3994283</v>
      </c>
    </row>
    <row r="47" spans="1:2" x14ac:dyDescent="0.25">
      <c r="A47" s="13">
        <v>2019</v>
      </c>
      <c r="B47" s="381">
        <f>'M1 Population'!P95</f>
        <v>4026209</v>
      </c>
    </row>
    <row r="48" spans="1:2" x14ac:dyDescent="0.25">
      <c r="A48" s="13">
        <v>2020</v>
      </c>
      <c r="B48" s="381">
        <f>'M1 Population'!Q95</f>
        <v>4044210</v>
      </c>
    </row>
    <row r="49" spans="1:3" x14ac:dyDescent="0.25">
      <c r="A49" s="13">
        <v>2021</v>
      </c>
      <c r="B49" s="381">
        <f>'M1 Population'!R95</f>
        <v>3986842</v>
      </c>
      <c r="C49" s="12"/>
    </row>
    <row r="50" spans="1:3" x14ac:dyDescent="0.25">
      <c r="A50" s="13">
        <v>2022</v>
      </c>
      <c r="B50" s="381">
        <f>'M1 Population'!S95</f>
        <v>4073239</v>
      </c>
      <c r="C50" s="12"/>
    </row>
    <row r="51" spans="1:3" x14ac:dyDescent="0.25">
      <c r="A51" s="13">
        <v>2023</v>
      </c>
      <c r="B51" s="381">
        <f>'M1 Population'!T95</f>
        <v>4149253</v>
      </c>
      <c r="C51" s="12"/>
    </row>
    <row r="52" spans="1:3" x14ac:dyDescent="0.25">
      <c r="A52" s="13">
        <v>2024</v>
      </c>
      <c r="B52" s="381">
        <f>'M1 Population'!U95</f>
        <v>4180868</v>
      </c>
      <c r="C52" s="12"/>
    </row>
    <row r="53" spans="1:3" x14ac:dyDescent="0.25">
      <c r="A53" s="13">
        <v>2025</v>
      </c>
      <c r="B53" s="381">
        <f>'M1 Population'!V95</f>
        <v>4204515</v>
      </c>
      <c r="C53" s="381">
        <f>B24</f>
        <v>4204515</v>
      </c>
    </row>
    <row r="54" spans="1:3" x14ac:dyDescent="0.25">
      <c r="A54" s="13">
        <v>2026</v>
      </c>
      <c r="B54" s="12"/>
      <c r="C54" s="381">
        <f>C24</f>
        <v>4204434.3867392102</v>
      </c>
    </row>
    <row r="55" spans="1:3" x14ac:dyDescent="0.25">
      <c r="A55" s="13">
        <v>2027</v>
      </c>
      <c r="B55" s="12"/>
      <c r="C55" s="381">
        <f>D24</f>
        <v>4201944.9587211395</v>
      </c>
    </row>
    <row r="56" spans="1:3" x14ac:dyDescent="0.25">
      <c r="A56" s="13">
        <v>2028</v>
      </c>
      <c r="B56" s="12"/>
      <c r="C56" s="381">
        <f>E24</f>
        <v>4197066.7773609962</v>
      </c>
    </row>
    <row r="57" spans="1:3" x14ac:dyDescent="0.25">
      <c r="A57" s="13">
        <v>2029</v>
      </c>
      <c r="B57" s="12"/>
      <c r="C57" s="381">
        <f>F24</f>
        <v>4189808.2713679094</v>
      </c>
    </row>
    <row r="58" spans="1:3" x14ac:dyDescent="0.25">
      <c r="A58" s="13">
        <v>2030</v>
      </c>
      <c r="B58" s="12"/>
      <c r="C58" s="381">
        <f>G24</f>
        <v>4180178.9179879623</v>
      </c>
    </row>
    <row r="59" spans="1:3" x14ac:dyDescent="0.25">
      <c r="A59" s="13">
        <v>2031</v>
      </c>
      <c r="B59" s="12"/>
      <c r="C59" s="381">
        <f>H24</f>
        <v>4168197.5558233554</v>
      </c>
    </row>
    <row r="60" spans="1:3" x14ac:dyDescent="0.25">
      <c r="A60" s="13">
        <v>2032</v>
      </c>
      <c r="B60" s="12"/>
      <c r="C60" s="381">
        <f>I24</f>
        <v>4153896.3324602423</v>
      </c>
    </row>
    <row r="61" spans="1:3" x14ac:dyDescent="0.25">
      <c r="A61" s="13">
        <v>2033</v>
      </c>
      <c r="B61" s="12"/>
      <c r="C61" s="381">
        <f>J24</f>
        <v>4137321.9598965519</v>
      </c>
    </row>
    <row r="62" spans="1:3" x14ac:dyDescent="0.25">
      <c r="A62" s="13">
        <v>2034</v>
      </c>
      <c r="B62" s="12"/>
      <c r="C62" s="381">
        <f>K24</f>
        <v>4118535.3396630674</v>
      </c>
    </row>
    <row r="63" spans="1:3" x14ac:dyDescent="0.25">
      <c r="A63" s="13">
        <v>2035</v>
      </c>
      <c r="B63" s="12"/>
      <c r="C63" s="381">
        <f>L24</f>
        <v>4097610.233249445</v>
      </c>
    </row>
  </sheetData>
  <conditionalFormatting sqref="B30:AF30">
    <cfRule type="cellIs" dxfId="10" priority="1" operator="greaterThan">
      <formula>30</formula>
    </cfRule>
  </conditionalFormatting>
  <pageMargins left="0.7" right="0.7" top="0.75" bottom="0.75" header="0.3" footer="0.3"/>
  <pageSetup paperSize="9" fitToHeight="0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9CA9-275D-1744-8451-005B252F2897}">
  <dimension ref="A1:AE56"/>
  <sheetViews>
    <sheetView workbookViewId="0"/>
  </sheetViews>
  <sheetFormatPr defaultColWidth="10.88671875" defaultRowHeight="13.8" x14ac:dyDescent="0.25"/>
  <cols>
    <col min="1" max="1" width="30" style="35" customWidth="1"/>
    <col min="2" max="2" width="8.109375" style="35" customWidth="1"/>
    <col min="3" max="5" width="7.44140625" style="35" customWidth="1"/>
    <col min="6" max="6" width="8.44140625" style="35" customWidth="1"/>
    <col min="7" max="8" width="7" style="35" customWidth="1"/>
    <col min="9" max="10" width="7.44140625" style="35" customWidth="1"/>
    <col min="11" max="11" width="7.33203125" style="35" customWidth="1"/>
    <col min="12" max="12" width="7" style="35" customWidth="1"/>
    <col min="13" max="13" width="7.33203125" style="35" customWidth="1"/>
    <col min="14" max="31" width="6.109375" style="35" customWidth="1"/>
    <col min="32" max="16384" width="10.88671875" style="35"/>
  </cols>
  <sheetData>
    <row r="1" spans="1:20" x14ac:dyDescent="0.25">
      <c r="A1" s="319" t="s">
        <v>117</v>
      </c>
      <c r="B1" s="319">
        <v>2024</v>
      </c>
      <c r="C1" s="319">
        <v>2023</v>
      </c>
      <c r="D1" s="319">
        <v>2022</v>
      </c>
      <c r="E1" s="319">
        <v>2021</v>
      </c>
      <c r="F1" s="319">
        <v>2020</v>
      </c>
      <c r="G1" s="319">
        <v>2019</v>
      </c>
      <c r="H1" s="319">
        <v>2018</v>
      </c>
      <c r="I1" s="319">
        <v>2017</v>
      </c>
      <c r="J1" s="319">
        <v>2016</v>
      </c>
      <c r="K1" s="319">
        <v>2015</v>
      </c>
      <c r="L1" s="319">
        <v>2014</v>
      </c>
      <c r="M1" s="319">
        <v>2013</v>
      </c>
      <c r="N1" s="319">
        <v>2012</v>
      </c>
      <c r="O1" s="319">
        <v>2011</v>
      </c>
      <c r="P1" s="319">
        <v>2010</v>
      </c>
      <c r="Q1" s="319">
        <v>2009</v>
      </c>
      <c r="R1" s="319">
        <v>2008</v>
      </c>
      <c r="S1" s="319">
        <v>2007</v>
      </c>
      <c r="T1" s="319">
        <v>2006</v>
      </c>
    </row>
    <row r="2" spans="1:20" x14ac:dyDescent="0.25">
      <c r="A2" s="320" t="s">
        <v>118</v>
      </c>
      <c r="B2" s="77">
        <v>138.6</v>
      </c>
      <c r="C2" s="77">
        <v>137.5</v>
      </c>
      <c r="D2" s="77">
        <v>133.9</v>
      </c>
      <c r="E2" s="77">
        <v>128.19999999999999</v>
      </c>
      <c r="F2" s="77">
        <v>121.8</v>
      </c>
      <c r="G2" s="77">
        <v>136.80000000000001</v>
      </c>
      <c r="H2" s="77">
        <v>130</v>
      </c>
      <c r="I2" s="77">
        <v>127.4</v>
      </c>
      <c r="J2" s="77">
        <v>123.7</v>
      </c>
      <c r="K2" s="77">
        <v>110.5</v>
      </c>
      <c r="L2" s="77">
        <v>108.2</v>
      </c>
      <c r="M2" s="77">
        <v>104.5</v>
      </c>
      <c r="N2" s="77">
        <v>100.7</v>
      </c>
      <c r="O2" s="77">
        <v>96.9</v>
      </c>
      <c r="P2" s="77">
        <v>93.2</v>
      </c>
      <c r="Q2" s="77">
        <v>90.2</v>
      </c>
      <c r="R2" s="77">
        <v>90.6</v>
      </c>
      <c r="S2" s="77">
        <v>91</v>
      </c>
      <c r="T2" s="77">
        <v>90.2</v>
      </c>
    </row>
    <row r="3" spans="1:20" x14ac:dyDescent="0.25">
      <c r="A3" s="77" t="s">
        <v>119</v>
      </c>
      <c r="B3" s="77">
        <v>135.4</v>
      </c>
      <c r="C3" s="77">
        <v>139.5</v>
      </c>
      <c r="D3" s="77">
        <v>140.4</v>
      </c>
      <c r="E3" s="77">
        <v>119.7</v>
      </c>
      <c r="F3" s="77">
        <v>110.9</v>
      </c>
      <c r="G3" s="77">
        <v>148.4</v>
      </c>
      <c r="H3" s="77">
        <v>145.4</v>
      </c>
      <c r="I3" s="77">
        <v>142.69999999999999</v>
      </c>
      <c r="J3" s="77">
        <v>142.1</v>
      </c>
      <c r="K3" s="77">
        <v>128.5</v>
      </c>
      <c r="L3" s="77">
        <v>126.6</v>
      </c>
      <c r="M3" s="77">
        <v>120.2</v>
      </c>
      <c r="N3" s="77">
        <v>118.5</v>
      </c>
      <c r="O3" s="77">
        <v>111.6</v>
      </c>
      <c r="P3" s="77">
        <v>104.3</v>
      </c>
      <c r="Q3" s="77">
        <v>100.1</v>
      </c>
      <c r="R3" s="77">
        <v>99.2</v>
      </c>
      <c r="S3" s="77">
        <v>95</v>
      </c>
      <c r="T3" s="77">
        <v>92.5</v>
      </c>
    </row>
    <row r="4" spans="1:20" x14ac:dyDescent="0.25">
      <c r="A4" s="77" t="s">
        <v>120</v>
      </c>
      <c r="B4" s="77">
        <v>82.4</v>
      </c>
      <c r="C4" s="77">
        <v>81.099999999999994</v>
      </c>
      <c r="D4" s="77">
        <v>78.7</v>
      </c>
      <c r="E4" s="77">
        <v>82.7</v>
      </c>
      <c r="F4" s="77">
        <v>80.3</v>
      </c>
      <c r="G4" s="77">
        <v>88.8</v>
      </c>
      <c r="H4" s="77">
        <v>84.3</v>
      </c>
      <c r="I4" s="77">
        <v>83.8</v>
      </c>
      <c r="J4" s="77">
        <v>81.5</v>
      </c>
      <c r="K4" s="77">
        <v>71.5</v>
      </c>
      <c r="L4" s="77">
        <v>71</v>
      </c>
      <c r="M4" s="77">
        <v>70</v>
      </c>
      <c r="N4" s="77">
        <v>66.7</v>
      </c>
      <c r="O4" s="77">
        <v>65.400000000000006</v>
      </c>
      <c r="P4" s="77">
        <v>63.8</v>
      </c>
      <c r="Q4" s="77">
        <v>62.7</v>
      </c>
      <c r="R4" s="77">
        <v>62.6</v>
      </c>
      <c r="S4" s="77">
        <v>63.9</v>
      </c>
      <c r="T4" s="77">
        <v>64</v>
      </c>
    </row>
    <row r="5" spans="1:20" x14ac:dyDescent="0.25">
      <c r="A5" s="77" t="s">
        <v>121</v>
      </c>
      <c r="B5" s="77">
        <v>366</v>
      </c>
      <c r="C5" s="77">
        <v>373.4</v>
      </c>
      <c r="D5" s="77">
        <v>371.8</v>
      </c>
      <c r="E5" s="77">
        <v>348.4</v>
      </c>
      <c r="F5" s="77">
        <v>338.4</v>
      </c>
      <c r="G5" s="77">
        <v>376.5</v>
      </c>
      <c r="H5" s="77">
        <v>368.2</v>
      </c>
      <c r="I5" s="77">
        <v>369.1</v>
      </c>
      <c r="J5" s="77">
        <v>366.7</v>
      </c>
      <c r="K5" s="77">
        <v>347.6</v>
      </c>
      <c r="L5" s="77">
        <v>347.7</v>
      </c>
      <c r="M5" s="77">
        <v>343.7</v>
      </c>
      <c r="N5" s="77">
        <v>347.6</v>
      </c>
      <c r="O5" s="77">
        <v>345.2</v>
      </c>
      <c r="P5" s="77">
        <v>339.6</v>
      </c>
      <c r="Q5" s="77">
        <v>323</v>
      </c>
      <c r="R5" s="77">
        <v>333.2</v>
      </c>
      <c r="S5" s="77">
        <v>340.4</v>
      </c>
      <c r="T5" s="77">
        <v>337.9</v>
      </c>
    </row>
    <row r="6" spans="1:20" x14ac:dyDescent="0.25">
      <c r="A6" s="320" t="s">
        <v>122</v>
      </c>
      <c r="B6" s="77">
        <v>132.1</v>
      </c>
      <c r="C6" s="77">
        <v>131.5</v>
      </c>
      <c r="D6" s="77">
        <v>129.4</v>
      </c>
      <c r="E6" s="77">
        <v>126.2</v>
      </c>
      <c r="F6" s="77">
        <v>117.4</v>
      </c>
      <c r="G6" s="77">
        <v>135.6</v>
      </c>
      <c r="H6" s="77">
        <v>129.6</v>
      </c>
      <c r="I6" s="77">
        <v>127.4</v>
      </c>
      <c r="J6" s="77">
        <v>123.4</v>
      </c>
      <c r="K6" s="77">
        <v>111.9</v>
      </c>
      <c r="L6" s="77">
        <v>111</v>
      </c>
      <c r="M6" s="77">
        <v>107.7</v>
      </c>
      <c r="N6" s="77">
        <v>105.5</v>
      </c>
      <c r="O6" s="77">
        <v>102.7</v>
      </c>
      <c r="P6" s="77">
        <v>98.3</v>
      </c>
      <c r="Q6" s="77">
        <v>96.4</v>
      </c>
      <c r="R6" s="77">
        <v>98.1</v>
      </c>
      <c r="S6" s="77">
        <v>99.4</v>
      </c>
      <c r="T6" s="77">
        <v>98.3</v>
      </c>
    </row>
    <row r="7" spans="1:20" x14ac:dyDescent="0.25">
      <c r="A7" s="77" t="s">
        <v>119</v>
      </c>
      <c r="B7" s="77">
        <v>119.5</v>
      </c>
      <c r="C7" s="77">
        <v>121.8</v>
      </c>
      <c r="D7" s="77">
        <v>123.4</v>
      </c>
      <c r="E7" s="77">
        <v>109.4</v>
      </c>
      <c r="F7" s="77">
        <v>98</v>
      </c>
      <c r="G7" s="77">
        <v>131.80000000000001</v>
      </c>
      <c r="H7" s="77">
        <v>127</v>
      </c>
      <c r="I7" s="77">
        <v>124.3</v>
      </c>
      <c r="J7" s="77">
        <v>121.5</v>
      </c>
      <c r="K7" s="77">
        <v>112</v>
      </c>
      <c r="L7" s="77">
        <v>109.4</v>
      </c>
      <c r="M7" s="77">
        <v>102</v>
      </c>
      <c r="N7" s="77">
        <v>101.2</v>
      </c>
      <c r="O7" s="77">
        <v>95.6</v>
      </c>
      <c r="P7" s="77">
        <v>88</v>
      </c>
      <c r="Q7" s="77">
        <v>84.9</v>
      </c>
      <c r="R7" s="77">
        <v>86.6</v>
      </c>
      <c r="S7" s="77">
        <v>83.2</v>
      </c>
      <c r="T7" s="77">
        <v>81.400000000000006</v>
      </c>
    </row>
    <row r="8" spans="1:20" x14ac:dyDescent="0.25">
      <c r="A8" s="77" t="s">
        <v>120</v>
      </c>
      <c r="B8" s="77">
        <v>86.4</v>
      </c>
      <c r="C8" s="77">
        <v>86.5</v>
      </c>
      <c r="D8" s="77">
        <v>86.1</v>
      </c>
      <c r="E8" s="77">
        <v>90.3</v>
      </c>
      <c r="F8" s="77">
        <v>85.2</v>
      </c>
      <c r="G8" s="77">
        <v>96.5</v>
      </c>
      <c r="H8" s="77">
        <v>92.3</v>
      </c>
      <c r="I8" s="77">
        <v>90.6</v>
      </c>
      <c r="J8" s="77">
        <v>88.6</v>
      </c>
      <c r="K8" s="77">
        <v>80.099999999999994</v>
      </c>
      <c r="L8" s="77">
        <v>80</v>
      </c>
      <c r="M8" s="77">
        <v>78.3</v>
      </c>
      <c r="N8" s="77">
        <v>77.2</v>
      </c>
      <c r="O8" s="77">
        <v>75.7</v>
      </c>
      <c r="P8" s="77">
        <v>74.2</v>
      </c>
      <c r="Q8" s="77">
        <v>73.5</v>
      </c>
      <c r="R8" s="77">
        <v>75</v>
      </c>
      <c r="S8" s="77">
        <v>77.3</v>
      </c>
      <c r="T8" s="77">
        <v>77.400000000000006</v>
      </c>
    </row>
    <row r="9" spans="1:20" x14ac:dyDescent="0.25">
      <c r="A9" s="77" t="s">
        <v>121</v>
      </c>
      <c r="B9" s="77">
        <v>305.3</v>
      </c>
      <c r="C9" s="77">
        <v>307.7</v>
      </c>
      <c r="D9" s="77">
        <v>303.7</v>
      </c>
      <c r="E9" s="77">
        <v>286</v>
      </c>
      <c r="F9" s="77">
        <v>274.60000000000002</v>
      </c>
      <c r="G9" s="77">
        <v>318.89999999999998</v>
      </c>
      <c r="H9" s="77">
        <v>313.8</v>
      </c>
      <c r="I9" s="77">
        <v>319.8</v>
      </c>
      <c r="J9" s="77">
        <v>314.10000000000002</v>
      </c>
      <c r="K9" s="77">
        <v>292.89999999999998</v>
      </c>
      <c r="L9" s="77">
        <v>299.89999999999998</v>
      </c>
      <c r="M9" s="77">
        <v>302.60000000000002</v>
      </c>
      <c r="N9" s="77">
        <v>304</v>
      </c>
      <c r="O9" s="77">
        <v>308</v>
      </c>
      <c r="P9" s="77">
        <v>295.3</v>
      </c>
      <c r="Q9" s="77">
        <v>287.7</v>
      </c>
      <c r="R9" s="77">
        <v>294.8</v>
      </c>
      <c r="S9" s="77">
        <v>299.8</v>
      </c>
      <c r="T9" s="77">
        <v>295.7</v>
      </c>
    </row>
    <row r="10" spans="1:20" x14ac:dyDescent="0.25">
      <c r="A10" s="320" t="s">
        <v>123</v>
      </c>
      <c r="B10" s="77">
        <v>2.6</v>
      </c>
      <c r="C10" s="77">
        <v>2.7</v>
      </c>
      <c r="D10" s="77">
        <v>2.5</v>
      </c>
      <c r="E10" s="77">
        <v>2.2000000000000002</v>
      </c>
      <c r="F10" s="77">
        <v>2.4</v>
      </c>
      <c r="G10" s="77">
        <v>2.6</v>
      </c>
      <c r="H10" s="77">
        <v>2.7</v>
      </c>
      <c r="I10" s="77">
        <v>2.7</v>
      </c>
      <c r="J10" s="77">
        <v>2.7</v>
      </c>
      <c r="K10" s="77">
        <v>2.6</v>
      </c>
      <c r="L10" s="77">
        <v>2.4</v>
      </c>
      <c r="M10" s="77">
        <v>2.2000000000000002</v>
      </c>
      <c r="N10" s="77">
        <v>2.2999999999999998</v>
      </c>
      <c r="O10" s="77">
        <v>2.8</v>
      </c>
      <c r="P10" s="77">
        <v>2.8</v>
      </c>
      <c r="Q10" s="77">
        <v>2.7</v>
      </c>
      <c r="R10" s="77">
        <v>2.6</v>
      </c>
      <c r="S10" s="77">
        <v>2.5</v>
      </c>
      <c r="T10" s="77">
        <v>2.5</v>
      </c>
    </row>
    <row r="11" spans="1:20" x14ac:dyDescent="0.25">
      <c r="A11" s="77" t="s">
        <v>119</v>
      </c>
      <c r="B11" s="77">
        <v>0.1</v>
      </c>
      <c r="C11" s="77">
        <v>0.2</v>
      </c>
      <c r="D11" s="77">
        <v>0.1</v>
      </c>
      <c r="E11" s="77">
        <v>0.2</v>
      </c>
      <c r="F11" s="77">
        <v>0.1</v>
      </c>
      <c r="G11" s="77">
        <v>0.1</v>
      </c>
      <c r="H11" s="77">
        <v>0.1</v>
      </c>
      <c r="I11" s="77">
        <v>0.2</v>
      </c>
      <c r="J11" s="77">
        <v>0.2</v>
      </c>
      <c r="K11" s="77">
        <v>0.1</v>
      </c>
      <c r="L11" s="77">
        <v>0.2</v>
      </c>
      <c r="M11" s="77">
        <v>0.2</v>
      </c>
      <c r="N11" s="77">
        <v>0.1</v>
      </c>
      <c r="O11" s="77">
        <v>0.1</v>
      </c>
      <c r="P11" s="77">
        <v>0.2</v>
      </c>
      <c r="Q11" s="77">
        <v>0.1</v>
      </c>
      <c r="R11" s="77">
        <v>0.1</v>
      </c>
      <c r="S11" s="77">
        <v>0.1</v>
      </c>
      <c r="T11" s="77">
        <v>0.1</v>
      </c>
    </row>
    <row r="12" spans="1:20" x14ac:dyDescent="0.25">
      <c r="A12" s="77" t="s">
        <v>120</v>
      </c>
      <c r="B12" s="77">
        <v>3</v>
      </c>
      <c r="C12" s="77">
        <v>3.2</v>
      </c>
      <c r="D12" s="77">
        <v>3</v>
      </c>
      <c r="E12" s="77">
        <v>2.7</v>
      </c>
      <c r="F12" s="77">
        <v>2.9</v>
      </c>
      <c r="G12" s="77">
        <v>3.2</v>
      </c>
      <c r="H12" s="77">
        <v>3.3</v>
      </c>
      <c r="I12" s="77">
        <v>3.3</v>
      </c>
      <c r="J12" s="77">
        <v>3.3</v>
      </c>
      <c r="K12" s="77">
        <v>3.2</v>
      </c>
      <c r="L12" s="77">
        <v>3</v>
      </c>
      <c r="M12" s="77">
        <v>2.7</v>
      </c>
      <c r="N12" s="77">
        <v>2.8</v>
      </c>
      <c r="O12" s="77">
        <v>3.5</v>
      </c>
      <c r="P12" s="77">
        <v>3.5</v>
      </c>
      <c r="Q12" s="77">
        <v>3.3</v>
      </c>
      <c r="R12" s="77">
        <v>3.3</v>
      </c>
      <c r="S12" s="77">
        <v>3.1</v>
      </c>
      <c r="T12" s="77">
        <v>3.2</v>
      </c>
    </row>
    <row r="13" spans="1:20" x14ac:dyDescent="0.25">
      <c r="A13" s="77" t="s">
        <v>121</v>
      </c>
      <c r="B13" s="77">
        <v>3.3</v>
      </c>
      <c r="C13" s="77">
        <v>2.6</v>
      </c>
      <c r="D13" s="77">
        <v>2.5</v>
      </c>
      <c r="E13" s="77">
        <v>2.2000000000000002</v>
      </c>
      <c r="F13" s="77">
        <v>2.1</v>
      </c>
      <c r="G13" s="77">
        <v>2.4</v>
      </c>
      <c r="H13" s="77">
        <v>2.2999999999999998</v>
      </c>
      <c r="I13" s="77">
        <v>2.2000000000000002</v>
      </c>
      <c r="J13" s="77">
        <v>2.1</v>
      </c>
      <c r="K13" s="77">
        <v>2.2999999999999998</v>
      </c>
      <c r="L13" s="77">
        <v>2</v>
      </c>
      <c r="M13" s="77">
        <v>1.8</v>
      </c>
      <c r="N13" s="77">
        <v>1.8</v>
      </c>
      <c r="O13" s="77">
        <v>2.6</v>
      </c>
      <c r="P13" s="77">
        <v>2.9</v>
      </c>
      <c r="Q13" s="77">
        <v>2.5</v>
      </c>
      <c r="R13" s="77">
        <v>2.2000000000000002</v>
      </c>
      <c r="S13" s="77">
        <v>2.7</v>
      </c>
      <c r="T13" s="77">
        <v>2.8</v>
      </c>
    </row>
    <row r="14" spans="1:20" x14ac:dyDescent="0.25">
      <c r="A14" s="320" t="s">
        <v>124</v>
      </c>
      <c r="B14" s="77">
        <v>1.8</v>
      </c>
      <c r="C14" s="77">
        <v>1.7</v>
      </c>
      <c r="D14" s="77">
        <v>1.7</v>
      </c>
      <c r="E14" s="77">
        <v>1.5</v>
      </c>
      <c r="F14" s="77">
        <v>1.4</v>
      </c>
      <c r="G14" s="77">
        <v>1.6</v>
      </c>
      <c r="H14" s="77">
        <v>1.5</v>
      </c>
      <c r="I14" s="77">
        <v>1.6</v>
      </c>
      <c r="J14" s="77">
        <v>1.6</v>
      </c>
      <c r="K14" s="77">
        <v>1.6</v>
      </c>
      <c r="L14" s="77">
        <v>1.4</v>
      </c>
      <c r="M14" s="77">
        <v>1.4</v>
      </c>
      <c r="N14" s="77">
        <v>1.4</v>
      </c>
      <c r="O14" s="77">
        <v>1.6</v>
      </c>
      <c r="P14" s="77">
        <v>1.7</v>
      </c>
      <c r="Q14" s="77">
        <v>1.6</v>
      </c>
      <c r="R14" s="77">
        <v>1.7</v>
      </c>
      <c r="S14" s="77">
        <v>1.6</v>
      </c>
      <c r="T14" s="77">
        <v>1.7</v>
      </c>
    </row>
    <row r="15" spans="1:20" x14ac:dyDescent="0.25">
      <c r="A15" s="77" t="s">
        <v>119</v>
      </c>
      <c r="B15" s="77">
        <v>0.1</v>
      </c>
      <c r="C15" s="77">
        <v>0.4</v>
      </c>
      <c r="D15" s="77">
        <v>0.4</v>
      </c>
      <c r="E15" s="77">
        <v>0.5</v>
      </c>
      <c r="F15" s="77">
        <v>0.2</v>
      </c>
      <c r="G15" s="77">
        <v>0.2</v>
      </c>
      <c r="H15" s="77">
        <v>0.2</v>
      </c>
      <c r="I15" s="77">
        <v>0.2</v>
      </c>
      <c r="J15" s="77">
        <v>0.2</v>
      </c>
      <c r="K15" s="77">
        <v>0.2</v>
      </c>
      <c r="L15" s="77">
        <v>0.1</v>
      </c>
      <c r="M15" s="77">
        <v>0.1</v>
      </c>
      <c r="N15" s="77">
        <v>0.1</v>
      </c>
      <c r="O15" s="77">
        <v>0.1</v>
      </c>
      <c r="P15" s="77">
        <v>0.1</v>
      </c>
      <c r="Q15" s="77">
        <v>0.2</v>
      </c>
      <c r="R15" s="77">
        <v>0.1</v>
      </c>
      <c r="S15" s="77">
        <v>0.1</v>
      </c>
      <c r="T15" s="77">
        <v>0.1</v>
      </c>
    </row>
    <row r="16" spans="1:20" x14ac:dyDescent="0.25">
      <c r="A16" s="77" t="s">
        <v>120</v>
      </c>
      <c r="B16" s="77">
        <v>1.9</v>
      </c>
      <c r="C16" s="77">
        <v>2</v>
      </c>
      <c r="D16" s="77">
        <v>2</v>
      </c>
      <c r="E16" s="77">
        <v>1.7</v>
      </c>
      <c r="F16" s="77">
        <v>1.7</v>
      </c>
      <c r="G16" s="77">
        <v>1.8</v>
      </c>
      <c r="H16" s="77">
        <v>1.8</v>
      </c>
      <c r="I16" s="77">
        <v>1.9</v>
      </c>
      <c r="J16" s="77">
        <v>1.9</v>
      </c>
      <c r="K16" s="77">
        <v>1.9</v>
      </c>
      <c r="L16" s="77">
        <v>1.7</v>
      </c>
      <c r="M16" s="77">
        <v>1.6</v>
      </c>
      <c r="N16" s="77">
        <v>1.7</v>
      </c>
      <c r="O16" s="77">
        <v>1.9</v>
      </c>
      <c r="P16" s="77">
        <v>2</v>
      </c>
      <c r="Q16" s="77">
        <v>1.9</v>
      </c>
      <c r="R16" s="77">
        <v>2.1</v>
      </c>
      <c r="S16" s="77">
        <v>1.9</v>
      </c>
      <c r="T16" s="77">
        <v>2</v>
      </c>
    </row>
    <row r="17" spans="1:31" x14ac:dyDescent="0.25">
      <c r="A17" s="77" t="s">
        <v>121</v>
      </c>
      <c r="B17" s="77">
        <v>2.6</v>
      </c>
      <c r="C17" s="77">
        <v>1.7</v>
      </c>
      <c r="D17" s="77">
        <v>1.6</v>
      </c>
      <c r="E17" s="77">
        <v>1.5</v>
      </c>
      <c r="F17" s="77">
        <v>1.3</v>
      </c>
      <c r="G17" s="77">
        <v>1.5</v>
      </c>
      <c r="H17" s="77">
        <v>1.4</v>
      </c>
      <c r="I17" s="77">
        <v>1.6</v>
      </c>
      <c r="J17" s="77">
        <v>1.5</v>
      </c>
      <c r="K17" s="77">
        <v>1.6</v>
      </c>
      <c r="L17" s="77">
        <v>1.5</v>
      </c>
      <c r="M17" s="77">
        <v>1.7</v>
      </c>
      <c r="N17" s="77">
        <v>1.4</v>
      </c>
      <c r="O17" s="77">
        <v>1.7</v>
      </c>
      <c r="P17" s="77">
        <v>1.8</v>
      </c>
      <c r="Q17" s="77">
        <v>2</v>
      </c>
      <c r="R17" s="77">
        <v>1.9</v>
      </c>
      <c r="S17" s="77">
        <v>2.1</v>
      </c>
      <c r="T17" s="77">
        <v>2.5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 s="320" t="s">
        <v>125</v>
      </c>
      <c r="B18" s="77">
        <v>5.6</v>
      </c>
      <c r="C18" s="77">
        <v>4.5999999999999996</v>
      </c>
      <c r="D18" s="77">
        <v>5.2</v>
      </c>
      <c r="E18" s="77">
        <v>5</v>
      </c>
      <c r="F18" s="77">
        <v>4.4000000000000004</v>
      </c>
      <c r="G18" s="77">
        <v>4.5</v>
      </c>
      <c r="H18" s="77">
        <v>4.0999999999999996</v>
      </c>
      <c r="I18" s="77">
        <v>3.7</v>
      </c>
      <c r="J18" s="77">
        <v>3.1</v>
      </c>
      <c r="K18" s="77">
        <v>2.2000000000000002</v>
      </c>
      <c r="L18" s="77">
        <v>1.9</v>
      </c>
      <c r="M18" s="77">
        <v>1.8</v>
      </c>
      <c r="N18" s="77">
        <v>1.6</v>
      </c>
      <c r="O18" s="77">
        <v>1.7</v>
      </c>
      <c r="P18" s="77">
        <v>1.7</v>
      </c>
      <c r="Q18" s="77">
        <v>1.5</v>
      </c>
      <c r="R18" s="77">
        <v>1.4</v>
      </c>
      <c r="S18" s="77">
        <v>1.3</v>
      </c>
      <c r="T18" s="77">
        <v>1.2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25">
      <c r="A19" s="77" t="s">
        <v>119</v>
      </c>
      <c r="B19" s="77">
        <v>0</v>
      </c>
      <c r="C19" s="77">
        <v>0.1</v>
      </c>
      <c r="D19" s="77">
        <v>0</v>
      </c>
      <c r="E19" s="77">
        <v>0</v>
      </c>
      <c r="F19" s="77">
        <v>0</v>
      </c>
      <c r="G19" s="77">
        <v>0</v>
      </c>
      <c r="H19" s="77">
        <v>0.1</v>
      </c>
      <c r="I19" s="77">
        <v>0.1</v>
      </c>
      <c r="J19" s="77">
        <v>0.1</v>
      </c>
      <c r="K19" s="77">
        <v>0</v>
      </c>
      <c r="L19" s="77">
        <v>0</v>
      </c>
      <c r="M19" s="77">
        <v>0</v>
      </c>
      <c r="N19" s="77">
        <v>0</v>
      </c>
      <c r="O19" s="77" t="s">
        <v>101</v>
      </c>
      <c r="P19" s="77" t="s">
        <v>101</v>
      </c>
      <c r="Q19" s="77" t="s">
        <v>101</v>
      </c>
      <c r="R19" s="77">
        <v>0.1</v>
      </c>
      <c r="S19" s="77" t="s">
        <v>101</v>
      </c>
      <c r="T19" s="77">
        <v>0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25">
      <c r="A20" s="77" t="s">
        <v>120</v>
      </c>
      <c r="B20" s="77">
        <v>1.4</v>
      </c>
      <c r="C20" s="77">
        <v>1.3</v>
      </c>
      <c r="D20" s="77">
        <v>1.4</v>
      </c>
      <c r="E20" s="77">
        <v>1.8</v>
      </c>
      <c r="F20" s="77">
        <v>1.5</v>
      </c>
      <c r="G20" s="77">
        <v>1.5</v>
      </c>
      <c r="H20" s="77">
        <v>1.3</v>
      </c>
      <c r="I20" s="77">
        <v>1.2</v>
      </c>
      <c r="J20" s="77">
        <v>1.1000000000000001</v>
      </c>
      <c r="K20" s="77">
        <v>0.7</v>
      </c>
      <c r="L20" s="77">
        <v>0.6</v>
      </c>
      <c r="M20" s="77">
        <v>0.6</v>
      </c>
      <c r="N20" s="77">
        <v>0.6</v>
      </c>
      <c r="O20" s="77">
        <v>0.6</v>
      </c>
      <c r="P20" s="77">
        <v>0.7</v>
      </c>
      <c r="Q20" s="77">
        <v>0.6</v>
      </c>
      <c r="R20" s="77">
        <v>0.5</v>
      </c>
      <c r="S20" s="77">
        <v>0.5</v>
      </c>
      <c r="T20" s="77">
        <v>0.5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25">
      <c r="A21" s="77" t="s">
        <v>121</v>
      </c>
      <c r="B21" s="77">
        <v>27</v>
      </c>
      <c r="C21" s="77">
        <v>22.5</v>
      </c>
      <c r="D21" s="77">
        <v>26.7</v>
      </c>
      <c r="E21" s="77">
        <v>25</v>
      </c>
      <c r="F21" s="77">
        <v>23.4</v>
      </c>
      <c r="G21" s="77">
        <v>25.6</v>
      </c>
      <c r="H21" s="77">
        <v>24.1</v>
      </c>
      <c r="I21" s="77">
        <v>23.4</v>
      </c>
      <c r="J21" s="77">
        <v>20.3</v>
      </c>
      <c r="K21" s="77">
        <v>15.6</v>
      </c>
      <c r="L21" s="77">
        <v>14.4</v>
      </c>
      <c r="M21" s="77">
        <v>13.9</v>
      </c>
      <c r="N21" s="77">
        <v>13</v>
      </c>
      <c r="O21" s="77">
        <v>14.9</v>
      </c>
      <c r="P21" s="77">
        <v>14.9</v>
      </c>
      <c r="Q21" s="77">
        <v>13.6</v>
      </c>
      <c r="R21" s="77">
        <v>13.5</v>
      </c>
      <c r="S21" s="77">
        <v>12.8</v>
      </c>
      <c r="T21" s="77">
        <v>12.2</v>
      </c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 s="320" t="s">
        <v>126</v>
      </c>
      <c r="B22" s="77">
        <v>6.6</v>
      </c>
      <c r="C22" s="77">
        <v>5.2</v>
      </c>
      <c r="D22" s="77">
        <v>5.2</v>
      </c>
      <c r="E22" s="77">
        <v>5.0999999999999996</v>
      </c>
      <c r="F22" s="77">
        <v>4.4000000000000004</v>
      </c>
      <c r="G22" s="77">
        <v>5.0999999999999996</v>
      </c>
      <c r="H22" s="77">
        <v>4.5999999999999996</v>
      </c>
      <c r="I22" s="77">
        <v>4.3</v>
      </c>
      <c r="J22" s="77">
        <v>3.7</v>
      </c>
      <c r="K22" s="77">
        <v>2.7</v>
      </c>
      <c r="L22" s="77">
        <v>2.4</v>
      </c>
      <c r="M22" s="77">
        <v>2.2999999999999998</v>
      </c>
      <c r="N22" s="77">
        <v>2.1</v>
      </c>
      <c r="O22" s="77">
        <v>2.1</v>
      </c>
      <c r="P22" s="77">
        <v>2</v>
      </c>
      <c r="Q22" s="77">
        <v>1.9</v>
      </c>
      <c r="R22" s="77">
        <v>1.9</v>
      </c>
      <c r="S22" s="77">
        <v>1.6</v>
      </c>
      <c r="T22" s="77">
        <v>1.6</v>
      </c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25">
      <c r="A23" s="77" t="s">
        <v>119</v>
      </c>
      <c r="B23" s="77">
        <v>0</v>
      </c>
      <c r="C23" s="77">
        <v>0.1</v>
      </c>
      <c r="D23" s="77">
        <v>0.1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 t="s">
        <v>101</v>
      </c>
      <c r="P23" s="77" t="s">
        <v>101</v>
      </c>
      <c r="Q23" s="77" t="s">
        <v>101</v>
      </c>
      <c r="R23" s="77" t="s">
        <v>101</v>
      </c>
      <c r="S23" s="77" t="s">
        <v>101</v>
      </c>
      <c r="T23" s="77">
        <v>0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25">
      <c r="A24" s="77" t="s">
        <v>120</v>
      </c>
      <c r="B24" s="77">
        <v>1.2</v>
      </c>
      <c r="C24" s="77">
        <v>1</v>
      </c>
      <c r="D24" s="77">
        <v>1</v>
      </c>
      <c r="E24" s="77">
        <v>1.3</v>
      </c>
      <c r="F24" s="77">
        <v>1.1000000000000001</v>
      </c>
      <c r="G24" s="77">
        <v>1.1000000000000001</v>
      </c>
      <c r="H24" s="77">
        <v>1</v>
      </c>
      <c r="I24" s="77">
        <v>0.9</v>
      </c>
      <c r="J24" s="77">
        <v>0.8</v>
      </c>
      <c r="K24" s="77">
        <v>0.6</v>
      </c>
      <c r="L24" s="77">
        <v>0.5</v>
      </c>
      <c r="M24" s="77">
        <v>0.5</v>
      </c>
      <c r="N24" s="77">
        <v>0.5</v>
      </c>
      <c r="O24" s="77">
        <v>0.5</v>
      </c>
      <c r="P24" s="77">
        <v>0.4</v>
      </c>
      <c r="Q24" s="77">
        <v>0.4</v>
      </c>
      <c r="R24" s="77">
        <v>0.4</v>
      </c>
      <c r="S24" s="77">
        <v>0.4</v>
      </c>
      <c r="T24" s="77">
        <v>0.4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77" t="s">
        <v>121</v>
      </c>
      <c r="B25" s="77">
        <v>30.4</v>
      </c>
      <c r="C25" s="77">
        <v>24.8</v>
      </c>
      <c r="D25" s="77">
        <v>25.5</v>
      </c>
      <c r="E25" s="77">
        <v>24.8</v>
      </c>
      <c r="F25" s="77">
        <v>23</v>
      </c>
      <c r="G25" s="77">
        <v>27.9</v>
      </c>
      <c r="H25" s="77">
        <v>26.7</v>
      </c>
      <c r="I25" s="77">
        <v>26.2</v>
      </c>
      <c r="J25" s="77">
        <v>23.3</v>
      </c>
      <c r="K25" s="77">
        <v>18</v>
      </c>
      <c r="L25" s="77">
        <v>16.7</v>
      </c>
      <c r="M25" s="77">
        <v>16.8</v>
      </c>
      <c r="N25" s="77">
        <v>16</v>
      </c>
      <c r="O25" s="77">
        <v>17.5</v>
      </c>
      <c r="P25" s="77">
        <v>16.899999999999999</v>
      </c>
      <c r="Q25" s="77">
        <v>16.399999999999999</v>
      </c>
      <c r="R25" s="77">
        <v>16.399999999999999</v>
      </c>
      <c r="S25" s="77">
        <v>14.4</v>
      </c>
      <c r="T25" s="77">
        <v>14.1</v>
      </c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7" spans="1:31" x14ac:dyDescent="0.25">
      <c r="A27" s="70"/>
      <c r="B27" s="12"/>
      <c r="C27" s="12"/>
      <c r="D27" s="12" t="str">
        <f ca="1">_xlfn.FORMULATEXT(B33)</f>
        <v>=MAX(0,FORECAST.LINEAR(B31, $B$3:$T$3, $B$1:$T$1))</v>
      </c>
      <c r="E27" s="12"/>
      <c r="F27" s="12"/>
      <c r="G27" s="12"/>
      <c r="H27" s="12"/>
      <c r="I27" s="12"/>
      <c r="J27" s="12"/>
      <c r="K27" s="12"/>
      <c r="L27" s="56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x14ac:dyDescent="0.25">
      <c r="A28" s="321" t="s">
        <v>127</v>
      </c>
      <c r="B28" s="12"/>
      <c r="C28" s="12"/>
      <c r="D28" s="12" t="str">
        <f ca="1">_xlfn.FORMULATEXT(B35)</f>
        <v>=MAX(0,FORECAST.LINEAR(B31, $B$5:$T$5, $B$1:$T$1)*(1+$B$29)^(B31-$B$1))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x14ac:dyDescent="0.25">
      <c r="A29" s="321" t="s">
        <v>128</v>
      </c>
      <c r="B29" s="382">
        <f>'M2 BOR &amp; Tradeoff analysis'!B12</f>
        <v>-6.0000000000000001E-3</v>
      </c>
      <c r="C29" s="12"/>
      <c r="D29" s="56" t="s">
        <v>129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x14ac:dyDescent="0.25">
      <c r="A30" s="12"/>
      <c r="B30" s="12" t="s">
        <v>130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x14ac:dyDescent="0.25">
      <c r="A31" s="322" t="s">
        <v>117</v>
      </c>
      <c r="B31" s="383">
        <v>2035</v>
      </c>
      <c r="C31" s="383">
        <f>B31-1</f>
        <v>2034</v>
      </c>
      <c r="D31" s="383">
        <f t="shared" ref="D31:L31" si="0">C31-1</f>
        <v>2033</v>
      </c>
      <c r="E31" s="383">
        <f t="shared" si="0"/>
        <v>2032</v>
      </c>
      <c r="F31" s="383">
        <f t="shared" si="0"/>
        <v>2031</v>
      </c>
      <c r="G31" s="383">
        <f t="shared" si="0"/>
        <v>2030</v>
      </c>
      <c r="H31" s="383">
        <f t="shared" si="0"/>
        <v>2029</v>
      </c>
      <c r="I31" s="383">
        <f t="shared" si="0"/>
        <v>2028</v>
      </c>
      <c r="J31" s="383">
        <f t="shared" si="0"/>
        <v>2027</v>
      </c>
      <c r="K31" s="383">
        <f t="shared" si="0"/>
        <v>2026</v>
      </c>
      <c r="L31" s="384">
        <f t="shared" si="0"/>
        <v>2025</v>
      </c>
      <c r="M31" s="323">
        <v>2024</v>
      </c>
      <c r="N31" s="323">
        <v>2023</v>
      </c>
      <c r="O31" s="323">
        <v>2022</v>
      </c>
      <c r="P31" s="323">
        <v>2021</v>
      </c>
      <c r="Q31" s="323">
        <v>2020</v>
      </c>
      <c r="R31" s="323">
        <v>2019</v>
      </c>
      <c r="S31" s="323">
        <v>2018</v>
      </c>
      <c r="T31" s="323">
        <v>2017</v>
      </c>
      <c r="U31" s="323">
        <v>2016</v>
      </c>
      <c r="V31" s="323">
        <v>2015</v>
      </c>
      <c r="W31" s="323">
        <v>2014</v>
      </c>
      <c r="X31" s="323">
        <v>2013</v>
      </c>
      <c r="Y31" s="323">
        <v>2012</v>
      </c>
      <c r="Z31" s="323">
        <v>2011</v>
      </c>
      <c r="AA31" s="323">
        <v>2010</v>
      </c>
      <c r="AB31" s="323">
        <v>2009</v>
      </c>
      <c r="AC31" s="323">
        <v>2008</v>
      </c>
      <c r="AD31" s="323">
        <v>2007</v>
      </c>
      <c r="AE31" s="324">
        <v>2006</v>
      </c>
    </row>
    <row r="32" spans="1:31" x14ac:dyDescent="0.25">
      <c r="A32" s="325" t="s">
        <v>131</v>
      </c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6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387"/>
    </row>
    <row r="33" spans="1:31" x14ac:dyDescent="0.25">
      <c r="A33" s="72" t="s">
        <v>119</v>
      </c>
      <c r="B33" s="388">
        <f>MAX(0,_xlfn.FORECAST.LINEAR(B31, $B$3:$T$3, $B$1:$T$1))</f>
        <v>173.71929824561357</v>
      </c>
      <c r="C33" s="388">
        <f t="shared" ref="C33:L33" si="1">MAX(0,_xlfn.FORECAST.LINEAR(C31, $B$3:$T$3, $B$1:$T$1))</f>
        <v>171.1412280701752</v>
      </c>
      <c r="D33" s="388">
        <f t="shared" si="1"/>
        <v>168.56315789473592</v>
      </c>
      <c r="E33" s="388">
        <f t="shared" si="1"/>
        <v>165.98508771929755</v>
      </c>
      <c r="F33" s="388">
        <f t="shared" si="1"/>
        <v>163.40701754385918</v>
      </c>
      <c r="G33" s="388">
        <f t="shared" si="1"/>
        <v>160.82894736842081</v>
      </c>
      <c r="H33" s="388">
        <f t="shared" si="1"/>
        <v>158.25087719298153</v>
      </c>
      <c r="I33" s="388">
        <f t="shared" si="1"/>
        <v>155.67280701754316</v>
      </c>
      <c r="J33" s="388">
        <f t="shared" si="1"/>
        <v>153.09473684210479</v>
      </c>
      <c r="K33" s="388">
        <f t="shared" si="1"/>
        <v>150.51666666666642</v>
      </c>
      <c r="L33" s="389">
        <f t="shared" si="1"/>
        <v>147.93859649122714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1"/>
    </row>
    <row r="34" spans="1:31" x14ac:dyDescent="0.25">
      <c r="A34" s="72" t="s">
        <v>120</v>
      </c>
      <c r="B34" s="388">
        <f>(SUM('M1 Demand Driver'!L8:L16)/SUM('M1 Demand Driver'!L8:L17)*MAX(0,_xlfn.FORECAST.LINEAR(B31,$B$4:$T$4,$B$1:$T$1)))+('M1 Demand Driver'!L17/SUM('M1 Demand Driver'!L8:L17)*MAX(0,_xlfn.FORECAST.LINEAR(B31,$B$4:$T$4,$B$1:$T$1)*(1+$B$29)^(B31-$B$1)))</f>
        <v>101.39778240849745</v>
      </c>
      <c r="C34" s="388">
        <f>(SUM('M1 Demand Driver'!K8:K16)/SUM('M1 Demand Driver'!K8:K17)*MAX(0,_xlfn.FORECAST.LINEAR(C31,$B$4:$T$4,$B$1:$T$1)))+('M1 Demand Driver'!K17/SUM('M1 Demand Driver'!K8:K17)*MAX(0,_xlfn.FORECAST.LINEAR(C31,$B$4:$T$4,$B$1:$T$1)*(1+$B$29)^(C31-$B$1)))</f>
        <v>100.07073247360164</v>
      </c>
      <c r="D34" s="388">
        <f>(SUM('M1 Demand Driver'!J8:J16)/SUM('M1 Demand Driver'!J8:J17)*MAX(0,_xlfn.FORECAST.LINEAR(D31,$B$4:$T$4,$B$1:$T$1)))+('M1 Demand Driver'!J17/SUM('M1 Demand Driver'!J8:J17)*MAX(0,_xlfn.FORECAST.LINEAR(D31,$B$4:$T$4,$B$1:$T$1)*(1+$B$29)^(D31-$B$1)))</f>
        <v>98.740125523198159</v>
      </c>
      <c r="E34" s="388">
        <f>(SUM('M1 Demand Driver'!I8:I16)/SUM('M1 Demand Driver'!I8:I17)*MAX(0,_xlfn.FORECAST.LINEAR(E31,$B$4:$T$4,$B$1:$T$1)))+('M1 Demand Driver'!I17/SUM('M1 Demand Driver'!I8:I17)*MAX(0,_xlfn.FORECAST.LINEAR(E31,$B$4:$T$4,$B$1:$T$1)*(1+$B$29)^(E31-$B$1)))</f>
        <v>97.406132250671078</v>
      </c>
      <c r="F34" s="388">
        <f>(SUM('M1 Demand Driver'!H8:H16)/SUM('M1 Demand Driver'!H8:H17)*MAX(0,_xlfn.FORECAST.LINEAR(F31,$B$4:$T$4,$B$1:$T$1)))+('M1 Demand Driver'!H17/SUM('M1 Demand Driver'!H8:H17)*MAX(0,_xlfn.FORECAST.LINEAR(F31,$B$4:$T$4,$B$1:$T$1)*(1+$B$29)^(F31-$B$1)))</f>
        <v>96.068928787210339</v>
      </c>
      <c r="G34" s="388">
        <f>(SUM('M1 Demand Driver'!G8:G16)/SUM('M1 Demand Driver'!G8:G17)*MAX(0,_xlfn.FORECAST.LINEAR(G31,$B$4:$T$4,$B$1:$T$1)))+('M1 Demand Driver'!G17/SUM('M1 Demand Driver'!G8:G17)*MAX(0,_xlfn.FORECAST.LINEAR(G31,$B$4:$T$4,$B$1:$T$1)*(1+$B$29)^(G31-$B$1)))</f>
        <v>94.728689696047255</v>
      </c>
      <c r="H34" s="388">
        <f>(SUM('M1 Demand Driver'!F8:F16)/SUM('M1 Demand Driver'!F8:F17)*MAX(0,_xlfn.FORECAST.LINEAR(H31,$B$4:$T$4,$B$1:$T$1)))+('M1 Demand Driver'!F17/SUM('M1 Demand Driver'!F8:F17)*MAX(0,_xlfn.FORECAST.LINEAR(H31,$B$4:$T$4,$B$1:$T$1)*(1+$B$29)^(H31-$B$1)))</f>
        <v>93.385586659162726</v>
      </c>
      <c r="I34" s="388">
        <f>(SUM('M1 Demand Driver'!E8:E16)/SUM('M1 Demand Driver'!E8:E17)*MAX(0,_xlfn.FORECAST.LINEAR(I31,$B$4:$T$4,$B$1:$T$1)))+('M1 Demand Driver'!E17/SUM('M1 Demand Driver'!E8:E17)*MAX(0,_xlfn.FORECAST.LINEAR(I31,$B$4:$T$4,$B$1:$T$1)*(1+$B$29)^(I31-$B$1)))</f>
        <v>92.039796369598903</v>
      </c>
      <c r="J34" s="388">
        <f>(SUM('M1 Demand Driver'!D8:D16)/SUM('M1 Demand Driver'!D8:D17)*MAX(0,_xlfn.FORECAST.LINEAR(J31,$B$4:$T$4,$B$1:$T$1)))+('M1 Demand Driver'!D17/SUM('M1 Demand Driver'!D8:D17)*MAX(0,_xlfn.FORECAST.LINEAR(J31,$B$4:$T$4,$B$1:$T$1)*(1+$B$29)^(J31-$B$1)))</f>
        <v>90.691521928752707</v>
      </c>
      <c r="K34" s="388">
        <f>(SUM('M1 Demand Driver'!C8:C16)/SUM('M1 Demand Driver'!C8:C17)*MAX(0,_xlfn.FORECAST.LINEAR(K31, $B$4:$T$4, $B$1:$T$1)))+('M1 Demand Driver'!C17/SUM('M1 Demand Driver'!C8:C17)*MAX(0,_xlfn.FORECAST.LINEAR(K31, $B$4:$T$4, $B$1:$T$1)*(1+$B$29)^(K31-$B$1)))</f>
        <v>89.341033198802904</v>
      </c>
      <c r="L34" s="389">
        <f>(SUM('M1 Demand Driver'!B8:B16)/SUM('M1 Demand Driver'!B8:B17)*MAX(0,_xlfn.FORECAST.LINEAR(L31,$B$4:$T$4,$B$1:$T$1)))+('M1 Demand Driver'!B17/SUM('M1 Demand Driver'!B8:B17)*MAX(0,_xlfn.FORECAST.LINEAR(L31,$B$4:$T$4,$B$1:$T$1)*(1+$B$29)^(L31-$B$1)))</f>
        <v>87.988733892002358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1"/>
    </row>
    <row r="35" spans="1:31" x14ac:dyDescent="0.25">
      <c r="A35" s="72" t="s">
        <v>121</v>
      </c>
      <c r="B35" s="388">
        <f>MAX(0,_xlfn.FORECAST.LINEAR(B31, $B$5:$T$5, $B$1:$T$1)*(1+$B$29)^(B31-$B$1))</f>
        <v>368.36487890777852</v>
      </c>
      <c r="C35" s="388">
        <f t="shared" ref="C35:K35" si="2">MAX(0,_xlfn.FORECAST.LINEAR(C31, $B$5:$T$5, $B$1:$T$1)*(1+$B$29)^(C31-$B$1))</f>
        <v>368.62212909193636</v>
      </c>
      <c r="D35" s="388">
        <f t="shared" si="2"/>
        <v>368.86906319910406</v>
      </c>
      <c r="E35" s="388">
        <f t="shared" si="2"/>
        <v>369.10554731597085</v>
      </c>
      <c r="F35" s="388">
        <f t="shared" si="2"/>
        <v>369.33144628844093</v>
      </c>
      <c r="G35" s="388">
        <f t="shared" si="2"/>
        <v>369.54662371153449</v>
      </c>
      <c r="H35" s="388">
        <f t="shared" si="2"/>
        <v>369.75094191921198</v>
      </c>
      <c r="I35" s="388">
        <f t="shared" si="2"/>
        <v>369.94426197411633</v>
      </c>
      <c r="J35" s="388">
        <f t="shared" si="2"/>
        <v>370.12644365724657</v>
      </c>
      <c r="K35" s="388">
        <f t="shared" si="2"/>
        <v>370.29734545754394</v>
      </c>
      <c r="L35" s="389">
        <f>MAX(0,_xlfn.FORECAST.LINEAR(L31, $B$5:$T$5, $B$1:$T$1)*(1+$B$29)^(L31-$B$1))</f>
        <v>370.45682456140344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1"/>
    </row>
    <row r="36" spans="1:31" x14ac:dyDescent="0.25">
      <c r="A36" s="74" t="s">
        <v>132</v>
      </c>
      <c r="B36" s="388"/>
      <c r="C36" s="388"/>
      <c r="D36" s="388"/>
      <c r="E36" s="388"/>
      <c r="F36" s="388"/>
      <c r="G36" s="388"/>
      <c r="H36" s="388"/>
      <c r="I36" s="388"/>
      <c r="J36" s="388"/>
      <c r="K36" s="388"/>
      <c r="L36" s="389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387"/>
    </row>
    <row r="37" spans="1:31" x14ac:dyDescent="0.25">
      <c r="A37" s="73" t="s">
        <v>119</v>
      </c>
      <c r="B37" s="388">
        <f t="shared" ref="B37:L37" si="3">MAX(0,_xlfn.FORECAST.LINEAR(B31, $B$7:$T$7, $B$1:$T$1))</f>
        <v>154.97192982456181</v>
      </c>
      <c r="C37" s="388">
        <f t="shared" si="3"/>
        <v>152.54175438596485</v>
      </c>
      <c r="D37" s="388">
        <f t="shared" si="3"/>
        <v>150.1115789473688</v>
      </c>
      <c r="E37" s="388">
        <f t="shared" si="3"/>
        <v>147.68140350877184</v>
      </c>
      <c r="F37" s="388">
        <f t="shared" si="3"/>
        <v>145.25122807017578</v>
      </c>
      <c r="G37" s="388">
        <f t="shared" si="3"/>
        <v>142.82105263157882</v>
      </c>
      <c r="H37" s="388">
        <f t="shared" si="3"/>
        <v>140.39087719298277</v>
      </c>
      <c r="I37" s="388">
        <f t="shared" si="3"/>
        <v>137.96070175438581</v>
      </c>
      <c r="J37" s="388">
        <f t="shared" si="3"/>
        <v>135.53052631578976</v>
      </c>
      <c r="K37" s="388">
        <f t="shared" si="3"/>
        <v>133.1003508771928</v>
      </c>
      <c r="L37" s="389">
        <f t="shared" si="3"/>
        <v>130.67017543859674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1"/>
    </row>
    <row r="38" spans="1:31" x14ac:dyDescent="0.25">
      <c r="A38" s="73" t="s">
        <v>120</v>
      </c>
      <c r="B38" s="388">
        <f>(SUM('M1 Demand Driver'!L8:L16)/SUM('M1 Demand Driver'!L8:L17)*MAX(0,_xlfn.FORECAST.LINEAR(B31,$B$8:$T$8,$B$1:$T$1)))+('M1 Demand Driver'!L17/SUM('M1 Demand Driver'!L8:L17)*MAX(0,_xlfn.FORECAST.LINEAR(B31,$B$8:$T$8,$B$1:$T$1)*(1+$B$29)^(B31-$B$1)))</f>
        <v>101.25495391092801</v>
      </c>
      <c r="C38" s="388">
        <f>(SUM('M1 Demand Driver'!K8:K16)/SUM('M1 Demand Driver'!K8:K17)*MAX(0,_xlfn.FORECAST.LINEAR(C31,$B$8:$T$8,$B$1:$T$1)))+('M1 Demand Driver'!K17/SUM('M1 Demand Driver'!K8:K17)*MAX(0,_xlfn.FORECAST.LINEAR(C31,$B$8:$T$8,$B$1:$T$1)*(1+$B$29)^(C31-$B$1)))</f>
        <v>100.36896926624675</v>
      </c>
      <c r="D38" s="388">
        <f>(SUM('M1 Demand Driver'!J8:J16)/SUM('M1 Demand Driver'!J8:J17)*MAX(0,_xlfn.FORECAST.LINEAR(D31,$B$8:$T$8,$B$1:$T$1)))+('M1 Demand Driver'!J17/SUM('M1 Demand Driver'!J8:J17)*MAX(0,_xlfn.FORECAST.LINEAR(D31,$B$8:$T$8,$B$1:$T$1)*(1+$B$29)^(D31-$B$1)))</f>
        <v>99.480045910119614</v>
      </c>
      <c r="E38" s="388">
        <f>(SUM('M1 Demand Driver'!I8:I16)/SUM('M1 Demand Driver'!I8:I17)*MAX(0,_xlfn.FORECAST.LINEAR(E31,$B$8:$T$8,$B$1:$T$1)))+('M1 Demand Driver'!I17/SUM('M1 Demand Driver'!I8:I17)*MAX(0,_xlfn.FORECAST.LINEAR(E31,$B$8:$T$8,$B$1:$T$1)*(1+$B$29)^(E31-$B$1)))</f>
        <v>98.588334897612924</v>
      </c>
      <c r="F38" s="388">
        <f>(SUM('M1 Demand Driver'!H8:H16)/SUM('M1 Demand Driver'!H8:H17)*MAX(0,_xlfn.FORECAST.LINEAR(F31,$B$8:$T$8,$B$1:$T$1)))+('M1 Demand Driver'!H17/SUM('M1 Demand Driver'!H8:H17)*MAX(0,_xlfn.FORECAST.LINEAR(F31,$B$8:$T$8,$B$1:$T$1)*(1+$B$29)^(F31-$B$1)))</f>
        <v>97.693994808758561</v>
      </c>
      <c r="G38" s="388">
        <f>(SUM('M1 Demand Driver'!G8:G16)/SUM('M1 Demand Driver'!G8:G17)*MAX(0,_xlfn.FORECAST.LINEAR(G31,$B$8:$T$8,$B$1:$T$1)))+('M1 Demand Driver'!G17/SUM('M1 Demand Driver'!G8:G17)*MAX(0,_xlfn.FORECAST.LINEAR(G31,$B$8:$T$8,$B$1:$T$1)*(1+$B$29)^(G31-$B$1)))</f>
        <v>96.797184871376814</v>
      </c>
      <c r="H38" s="388">
        <f>(SUM('M1 Demand Driver'!F8:F16)/SUM('M1 Demand Driver'!F8:F17)*MAX(0,_xlfn.FORECAST.LINEAR(H31,$B$8:$T$8,$B$1:$T$1)))+('M1 Demand Driver'!F17/SUM('M1 Demand Driver'!F8:F17)*MAX(0,_xlfn.FORECAST.LINEAR(H31,$B$8:$T$8,$B$1:$T$1)*(1+$B$29)^(H31-$B$1)))</f>
        <v>95.898063741871113</v>
      </c>
      <c r="I38" s="388">
        <f>(SUM('M1 Demand Driver'!E8:E16)/SUM('M1 Demand Driver'!E8:E17)*MAX(0,_xlfn.FORECAST.LINEAR(I31,$B$8:$T$8,$B$1:$T$1)))+('M1 Demand Driver'!E17/SUM('M1 Demand Driver'!E8:E17)*MAX(0,_xlfn.FORECAST.LINEAR(I31,$B$8:$T$8,$B$1:$T$1)*(1+$B$29)^(I31-$B$1)))</f>
        <v>94.996797758086686</v>
      </c>
      <c r="J38" s="388">
        <f>(SUM('M1 Demand Driver'!D8:D16)/SUM('M1 Demand Driver'!D8:D17)*MAX(0,_xlfn.FORECAST.LINEAR(J31,$B$8:$T$8,$B$1:$T$1)))+('M1 Demand Driver'!D17/SUM('M1 Demand Driver'!D8:D17)*MAX(0,_xlfn.FORECAST.LINEAR(J31,$B$8:$T$8,$B$1:$T$1)*(1+$B$29)^(J31-$B$1)))</f>
        <v>94.09358346870134</v>
      </c>
      <c r="K38" s="388">
        <f>(SUM('M1 Demand Driver'!C8:C16)/SUM('M1 Demand Driver'!C8:C17)*MAX(0,_xlfn.FORECAST.LINEAR(K31,$B$8:$T$8,$B$1:$T$1)))+('M1 Demand Driver'!C17/SUM('M1 Demand Driver'!C8:C17)*MAX(0,_xlfn.FORECAST.LINEAR(K31,$B$8:$T$8,$B$1:$T$1)*(1+$B$29)^(K31-$B$1)))</f>
        <v>93.188690678346759</v>
      </c>
      <c r="L38" s="389">
        <f>(SUM('M1 Demand Driver'!B8:B16)/SUM('M1 Demand Driver'!B8:B17)*MAX(0,_xlfn.FORECAST.LINEAR(L31,$B$8:$T$8,$B$1:$T$1)))+('M1 Demand Driver'!B17/SUM('M1 Demand Driver'!B8:B17)*MAX(0,_xlfn.FORECAST.LINEAR(L31,$B$8:$T$8,$B$1:$T$1)*(1+$B$29)^(L31-$B$1)))</f>
        <v>92.282535013881457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1"/>
    </row>
    <row r="39" spans="1:31" x14ac:dyDescent="0.25">
      <c r="A39" s="73" t="s">
        <v>121</v>
      </c>
      <c r="B39" s="388">
        <f>MAX(0,_xlfn.FORECAST.LINEAR(B31, $B$9:$T$9, $B$1:$T$1)*(1+$B$29)^(B31-$B$1))</f>
        <v>289.21350632323868</v>
      </c>
      <c r="C39" s="388">
        <f t="shared" ref="C39:K39" si="4">MAX(0,_xlfn.FORECAST.LINEAR(C31, $B$9:$T$9, $B$1:$T$1)*(1+$B$29)^(C31-$B$1))</f>
        <v>290.59616989780591</v>
      </c>
      <c r="D39" s="388">
        <f t="shared" si="4"/>
        <v>291.98498782797338</v>
      </c>
      <c r="E39" s="388">
        <f t="shared" si="4"/>
        <v>293.37998403317812</v>
      </c>
      <c r="F39" s="388">
        <f t="shared" si="4"/>
        <v>294.78118249738344</v>
      </c>
      <c r="G39" s="388">
        <f t="shared" si="4"/>
        <v>296.18860726898629</v>
      </c>
      <c r="H39" s="388">
        <f t="shared" si="4"/>
        <v>297.60228246072131</v>
      </c>
      <c r="I39" s="388">
        <f t="shared" si="4"/>
        <v>299.02223224956157</v>
      </c>
      <c r="J39" s="388">
        <f t="shared" si="4"/>
        <v>300.44848087661472</v>
      </c>
      <c r="K39" s="388">
        <f t="shared" si="4"/>
        <v>301.88105264701761</v>
      </c>
      <c r="L39" s="389">
        <f>MAX(0,_xlfn.FORECAST.LINEAR(L31, $B$9:$T$9, $B$1:$T$1)*(1+$B$29)^(L31-$B$1))</f>
        <v>303.31997192982459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1"/>
    </row>
    <row r="40" spans="1:31" x14ac:dyDescent="0.25">
      <c r="A40" s="74" t="s">
        <v>133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390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387"/>
    </row>
    <row r="41" spans="1:31" x14ac:dyDescent="0.25">
      <c r="A41" s="72" t="s">
        <v>134</v>
      </c>
      <c r="B41" s="388">
        <f>B33+B37</f>
        <v>328.69122807017538</v>
      </c>
      <c r="C41" s="388">
        <f t="shared" ref="C41:L43" si="5">C33+C37</f>
        <v>323.68298245614005</v>
      </c>
      <c r="D41" s="388">
        <f t="shared" si="5"/>
        <v>318.67473684210472</v>
      </c>
      <c r="E41" s="388">
        <f t="shared" si="5"/>
        <v>313.66649122806939</v>
      </c>
      <c r="F41" s="388">
        <f t="shared" si="5"/>
        <v>308.65824561403497</v>
      </c>
      <c r="G41" s="388">
        <f t="shared" si="5"/>
        <v>303.64999999999964</v>
      </c>
      <c r="H41" s="388">
        <f t="shared" si="5"/>
        <v>298.6417543859643</v>
      </c>
      <c r="I41" s="388">
        <f t="shared" si="5"/>
        <v>293.63350877192897</v>
      </c>
      <c r="J41" s="388">
        <f t="shared" si="5"/>
        <v>288.62526315789455</v>
      </c>
      <c r="K41" s="388">
        <f t="shared" si="5"/>
        <v>283.61701754385922</v>
      </c>
      <c r="L41" s="389">
        <f>L33+L37</f>
        <v>278.60877192982389</v>
      </c>
      <c r="M41" s="391">
        <f>B3+B7</f>
        <v>254.9</v>
      </c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92"/>
    </row>
    <row r="42" spans="1:31" x14ac:dyDescent="0.25">
      <c r="A42" s="72" t="s">
        <v>135</v>
      </c>
      <c r="B42" s="388">
        <f>B34+B38</f>
        <v>202.65273631942546</v>
      </c>
      <c r="C42" s="388">
        <f t="shared" si="5"/>
        <v>200.43970173984837</v>
      </c>
      <c r="D42" s="388">
        <f t="shared" si="5"/>
        <v>198.22017143331777</v>
      </c>
      <c r="E42" s="388">
        <f t="shared" si="5"/>
        <v>195.994467148284</v>
      </c>
      <c r="F42" s="388">
        <f t="shared" si="5"/>
        <v>193.76292359596891</v>
      </c>
      <c r="G42" s="388">
        <f t="shared" si="5"/>
        <v>191.52587456742407</v>
      </c>
      <c r="H42" s="388">
        <f t="shared" si="5"/>
        <v>189.28365040103384</v>
      </c>
      <c r="I42" s="388">
        <f t="shared" si="5"/>
        <v>187.03659412768559</v>
      </c>
      <c r="J42" s="388">
        <f t="shared" si="5"/>
        <v>184.78510539745406</v>
      </c>
      <c r="K42" s="388">
        <f t="shared" si="5"/>
        <v>182.52972387714965</v>
      </c>
      <c r="L42" s="389">
        <f t="shared" si="5"/>
        <v>180.2712689058838</v>
      </c>
      <c r="M42" s="391">
        <f t="shared" ref="M42:M43" si="6">B4+B8</f>
        <v>168.8</v>
      </c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88"/>
      <c r="AE42" s="392"/>
    </row>
    <row r="43" spans="1:31" x14ac:dyDescent="0.25">
      <c r="A43" s="72" t="s">
        <v>136</v>
      </c>
      <c r="B43" s="388">
        <f>B35+B39</f>
        <v>657.57838523101714</v>
      </c>
      <c r="C43" s="388">
        <f t="shared" si="5"/>
        <v>659.21829898974227</v>
      </c>
      <c r="D43" s="388">
        <f t="shared" si="5"/>
        <v>660.8540510270775</v>
      </c>
      <c r="E43" s="388">
        <f t="shared" si="5"/>
        <v>662.48553134914891</v>
      </c>
      <c r="F43" s="388">
        <f t="shared" si="5"/>
        <v>664.11262878582443</v>
      </c>
      <c r="G43" s="388">
        <f t="shared" si="5"/>
        <v>665.73523098052078</v>
      </c>
      <c r="H43" s="388">
        <f t="shared" si="5"/>
        <v>667.35322437993329</v>
      </c>
      <c r="I43" s="388">
        <f t="shared" si="5"/>
        <v>668.96649422367796</v>
      </c>
      <c r="J43" s="388">
        <f t="shared" si="5"/>
        <v>670.57492453386135</v>
      </c>
      <c r="K43" s="388">
        <f t="shared" si="5"/>
        <v>672.17839810456155</v>
      </c>
      <c r="L43" s="389">
        <f t="shared" si="5"/>
        <v>673.77679649122797</v>
      </c>
      <c r="M43" s="391">
        <f t="shared" si="6"/>
        <v>671.3</v>
      </c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92"/>
    </row>
    <row r="44" spans="1:31" x14ac:dyDescent="0.25">
      <c r="A44" s="74" t="s">
        <v>137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390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387"/>
    </row>
    <row r="45" spans="1:31" x14ac:dyDescent="0.25">
      <c r="A45" s="72" t="s">
        <v>119</v>
      </c>
      <c r="B45" s="393">
        <f>AVERAGE(B33,B37)/1000</f>
        <v>0.16434561403508768</v>
      </c>
      <c r="C45" s="393">
        <f t="shared" ref="C45:L47" si="7">AVERAGE(C33,C37)/1000</f>
        <v>0.16184149122807004</v>
      </c>
      <c r="D45" s="393">
        <f t="shared" si="7"/>
        <v>0.15933736842105237</v>
      </c>
      <c r="E45" s="393">
        <f t="shared" si="7"/>
        <v>0.15683324561403469</v>
      </c>
      <c r="F45" s="393">
        <f t="shared" si="7"/>
        <v>0.15432912280701749</v>
      </c>
      <c r="G45" s="393">
        <f t="shared" si="7"/>
        <v>0.15182499999999982</v>
      </c>
      <c r="H45" s="393">
        <f t="shared" si="7"/>
        <v>0.14932087719298215</v>
      </c>
      <c r="I45" s="393">
        <f t="shared" si="7"/>
        <v>0.14681675438596448</v>
      </c>
      <c r="J45" s="393">
        <f t="shared" si="7"/>
        <v>0.14431263157894728</v>
      </c>
      <c r="K45" s="393">
        <f t="shared" si="7"/>
        <v>0.1418085087719296</v>
      </c>
      <c r="L45" s="394">
        <f>AVERAGE(L33,L37)/1000</f>
        <v>0.13930438596491193</v>
      </c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6"/>
    </row>
    <row r="46" spans="1:31" x14ac:dyDescent="0.25">
      <c r="A46" s="72" t="s">
        <v>120</v>
      </c>
      <c r="B46" s="393">
        <f>AVERAGE(B34,B38)/1000</f>
        <v>0.10132636815971273</v>
      </c>
      <c r="C46" s="393">
        <f t="shared" si="7"/>
        <v>0.10021985086992419</v>
      </c>
      <c r="D46" s="393">
        <f t="shared" si="7"/>
        <v>9.9110085716658886E-2</v>
      </c>
      <c r="E46" s="393">
        <f t="shared" si="7"/>
        <v>9.7997233574142001E-2</v>
      </c>
      <c r="F46" s="393">
        <f t="shared" si="7"/>
        <v>9.6881461797984458E-2</v>
      </c>
      <c r="G46" s="393">
        <f t="shared" si="7"/>
        <v>9.5762937283712032E-2</v>
      </c>
      <c r="H46" s="393">
        <f t="shared" si="7"/>
        <v>9.4641825200516921E-2</v>
      </c>
      <c r="I46" s="393">
        <f t="shared" si="7"/>
        <v>9.3518297063842792E-2</v>
      </c>
      <c r="J46" s="393">
        <f t="shared" si="7"/>
        <v>9.2392552698727023E-2</v>
      </c>
      <c r="K46" s="393">
        <f t="shared" si="7"/>
        <v>9.1264861938574832E-2</v>
      </c>
      <c r="L46" s="394">
        <f t="shared" si="7"/>
        <v>9.0135634452941898E-2</v>
      </c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6"/>
    </row>
    <row r="47" spans="1:31" x14ac:dyDescent="0.25">
      <c r="A47" s="72" t="s">
        <v>121</v>
      </c>
      <c r="B47" s="393">
        <f>AVERAGE(B35,B39)/1000</f>
        <v>0.32878919261550854</v>
      </c>
      <c r="C47" s="393">
        <f t="shared" si="7"/>
        <v>0.32960914949487113</v>
      </c>
      <c r="D47" s="393">
        <f t="shared" si="7"/>
        <v>0.33042702551353875</v>
      </c>
      <c r="E47" s="393">
        <f t="shared" si="7"/>
        <v>0.33124276567457445</v>
      </c>
      <c r="F47" s="393">
        <f t="shared" si="7"/>
        <v>0.33205631439291222</v>
      </c>
      <c r="G47" s="393">
        <f t="shared" si="7"/>
        <v>0.33286761549026039</v>
      </c>
      <c r="H47" s="393">
        <f t="shared" si="7"/>
        <v>0.33367661218996664</v>
      </c>
      <c r="I47" s="393">
        <f t="shared" si="7"/>
        <v>0.33448324711183897</v>
      </c>
      <c r="J47" s="393">
        <f t="shared" si="7"/>
        <v>0.33528746226693068</v>
      </c>
      <c r="K47" s="393">
        <f t="shared" si="7"/>
        <v>0.3360891990522808</v>
      </c>
      <c r="L47" s="394">
        <f>AVERAGE(L35,L39)/1000</f>
        <v>0.33688839824561401</v>
      </c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6"/>
    </row>
    <row r="48" spans="1:31" x14ac:dyDescent="0.25">
      <c r="A48" s="75" t="s">
        <v>138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90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387"/>
    </row>
    <row r="49" spans="1:31" x14ac:dyDescent="0.25">
      <c r="A49" s="72" t="s">
        <v>139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90"/>
      <c r="M49" s="397">
        <f>B3+B7</f>
        <v>254.9</v>
      </c>
      <c r="N49" s="397">
        <f t="shared" ref="N49:AE51" si="8">C3+C7</f>
        <v>261.3</v>
      </c>
      <c r="O49" s="397">
        <f t="shared" si="8"/>
        <v>263.8</v>
      </c>
      <c r="P49" s="397">
        <f t="shared" si="8"/>
        <v>229.10000000000002</v>
      </c>
      <c r="Q49" s="397">
        <f t="shared" si="8"/>
        <v>208.9</v>
      </c>
      <c r="R49" s="397">
        <f t="shared" si="8"/>
        <v>280.20000000000005</v>
      </c>
      <c r="S49" s="397">
        <f t="shared" si="8"/>
        <v>272.39999999999998</v>
      </c>
      <c r="T49" s="397">
        <f t="shared" si="8"/>
        <v>267</v>
      </c>
      <c r="U49" s="397">
        <f t="shared" si="8"/>
        <v>263.60000000000002</v>
      </c>
      <c r="V49" s="397">
        <f t="shared" si="8"/>
        <v>240.5</v>
      </c>
      <c r="W49" s="397">
        <f t="shared" si="8"/>
        <v>236</v>
      </c>
      <c r="X49" s="397">
        <f t="shared" si="8"/>
        <v>222.2</v>
      </c>
      <c r="Y49" s="397">
        <f t="shared" si="8"/>
        <v>219.7</v>
      </c>
      <c r="Z49" s="397">
        <f t="shared" si="8"/>
        <v>207.2</v>
      </c>
      <c r="AA49" s="397">
        <f t="shared" si="8"/>
        <v>192.3</v>
      </c>
      <c r="AB49" s="397">
        <f t="shared" si="8"/>
        <v>185</v>
      </c>
      <c r="AC49" s="397">
        <f t="shared" si="8"/>
        <v>185.8</v>
      </c>
      <c r="AD49" s="397">
        <f t="shared" si="8"/>
        <v>178.2</v>
      </c>
      <c r="AE49" s="398">
        <f t="shared" si="8"/>
        <v>173.9</v>
      </c>
    </row>
    <row r="50" spans="1:31" x14ac:dyDescent="0.25">
      <c r="A50" s="72" t="s">
        <v>140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390"/>
      <c r="M50" s="397">
        <f>B4+B8</f>
        <v>168.8</v>
      </c>
      <c r="N50" s="397">
        <f t="shared" si="8"/>
        <v>167.6</v>
      </c>
      <c r="O50" s="397">
        <f t="shared" si="8"/>
        <v>164.8</v>
      </c>
      <c r="P50" s="397">
        <f t="shared" si="8"/>
        <v>173</v>
      </c>
      <c r="Q50" s="397">
        <f t="shared" si="8"/>
        <v>165.5</v>
      </c>
      <c r="R50" s="397">
        <f t="shared" si="8"/>
        <v>185.3</v>
      </c>
      <c r="S50" s="397">
        <f t="shared" si="8"/>
        <v>176.6</v>
      </c>
      <c r="T50" s="397">
        <f t="shared" si="8"/>
        <v>174.39999999999998</v>
      </c>
      <c r="U50" s="397">
        <f t="shared" si="8"/>
        <v>170.1</v>
      </c>
      <c r="V50" s="397">
        <f t="shared" si="8"/>
        <v>151.6</v>
      </c>
      <c r="W50" s="397">
        <f t="shared" si="8"/>
        <v>151</v>
      </c>
      <c r="X50" s="397">
        <f t="shared" si="8"/>
        <v>148.30000000000001</v>
      </c>
      <c r="Y50" s="397">
        <f t="shared" si="8"/>
        <v>143.9</v>
      </c>
      <c r="Z50" s="397">
        <f t="shared" si="8"/>
        <v>141.10000000000002</v>
      </c>
      <c r="AA50" s="397">
        <f t="shared" si="8"/>
        <v>138</v>
      </c>
      <c r="AB50" s="397">
        <f t="shared" si="8"/>
        <v>136.19999999999999</v>
      </c>
      <c r="AC50" s="397">
        <f t="shared" si="8"/>
        <v>137.6</v>
      </c>
      <c r="AD50" s="397">
        <f t="shared" si="8"/>
        <v>141.19999999999999</v>
      </c>
      <c r="AE50" s="398">
        <f t="shared" si="8"/>
        <v>141.4</v>
      </c>
    </row>
    <row r="51" spans="1:31" x14ac:dyDescent="0.25">
      <c r="A51" s="76" t="s">
        <v>141</v>
      </c>
      <c r="B51" s="399"/>
      <c r="C51" s="399"/>
      <c r="D51" s="399"/>
      <c r="E51" s="399"/>
      <c r="F51" s="399"/>
      <c r="G51" s="399"/>
      <c r="H51" s="399"/>
      <c r="I51" s="399"/>
      <c r="J51" s="399"/>
      <c r="K51" s="399"/>
      <c r="L51" s="400"/>
      <c r="M51" s="401">
        <f>B5+B9</f>
        <v>671.3</v>
      </c>
      <c r="N51" s="401">
        <f t="shared" si="8"/>
        <v>681.09999999999991</v>
      </c>
      <c r="O51" s="401">
        <f t="shared" si="8"/>
        <v>675.5</v>
      </c>
      <c r="P51" s="401">
        <f t="shared" si="8"/>
        <v>634.4</v>
      </c>
      <c r="Q51" s="401">
        <f t="shared" si="8"/>
        <v>613</v>
      </c>
      <c r="R51" s="401">
        <f t="shared" si="8"/>
        <v>695.4</v>
      </c>
      <c r="S51" s="401">
        <f t="shared" si="8"/>
        <v>682</v>
      </c>
      <c r="T51" s="401">
        <f t="shared" si="8"/>
        <v>688.90000000000009</v>
      </c>
      <c r="U51" s="401">
        <f t="shared" si="8"/>
        <v>680.8</v>
      </c>
      <c r="V51" s="401">
        <f t="shared" si="8"/>
        <v>640.5</v>
      </c>
      <c r="W51" s="401">
        <f t="shared" si="8"/>
        <v>647.59999999999991</v>
      </c>
      <c r="X51" s="401">
        <f t="shared" si="8"/>
        <v>646.29999999999995</v>
      </c>
      <c r="Y51" s="401">
        <f t="shared" si="8"/>
        <v>651.6</v>
      </c>
      <c r="Z51" s="401">
        <f t="shared" si="8"/>
        <v>653.20000000000005</v>
      </c>
      <c r="AA51" s="401">
        <f t="shared" si="8"/>
        <v>634.90000000000009</v>
      </c>
      <c r="AB51" s="401">
        <f t="shared" si="8"/>
        <v>610.70000000000005</v>
      </c>
      <c r="AC51" s="401">
        <f t="shared" si="8"/>
        <v>628</v>
      </c>
      <c r="AD51" s="401">
        <f t="shared" si="8"/>
        <v>640.20000000000005</v>
      </c>
      <c r="AE51" s="402">
        <f t="shared" si="8"/>
        <v>633.59999999999991</v>
      </c>
    </row>
    <row r="54" spans="1:31" x14ac:dyDescent="0.25">
      <c r="A54" s="446" t="s">
        <v>142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x14ac:dyDescent="0.25">
      <c r="A55" s="12" t="s">
        <v>143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x14ac:dyDescent="0.25">
      <c r="A56" s="12" t="s">
        <v>144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2913-003E-4A43-AF0A-A6E3CBF42A43}">
  <dimension ref="A1:AE48"/>
  <sheetViews>
    <sheetView workbookViewId="0"/>
  </sheetViews>
  <sheetFormatPr defaultColWidth="10.88671875" defaultRowHeight="13.2" x14ac:dyDescent="0.25"/>
  <cols>
    <col min="1" max="1" width="34" style="37" customWidth="1"/>
    <col min="2" max="13" width="8.88671875" style="37" bestFit="1" customWidth="1"/>
    <col min="14" max="21" width="6.6640625" style="37" bestFit="1" customWidth="1"/>
    <col min="22" max="31" width="6.44140625" style="37" bestFit="1" customWidth="1"/>
    <col min="32" max="32" width="10.88671875" style="37" bestFit="1" customWidth="1"/>
    <col min="33" max="16384" width="10.88671875" style="37"/>
  </cols>
  <sheetData>
    <row r="1" spans="1:19" x14ac:dyDescent="0.25">
      <c r="A1" s="354" t="s">
        <v>145</v>
      </c>
      <c r="B1" s="355">
        <v>2023</v>
      </c>
      <c r="C1" s="356">
        <v>2022</v>
      </c>
      <c r="D1" s="356">
        <v>2021</v>
      </c>
      <c r="E1" s="356">
        <v>2020</v>
      </c>
      <c r="F1" s="356">
        <v>2019</v>
      </c>
      <c r="G1" s="356">
        <v>2018</v>
      </c>
      <c r="H1" s="356">
        <v>2017</v>
      </c>
      <c r="I1" s="356">
        <v>2016</v>
      </c>
      <c r="J1" s="356">
        <v>2015</v>
      </c>
      <c r="K1" s="356">
        <v>2014</v>
      </c>
      <c r="L1" s="356">
        <v>2013</v>
      </c>
      <c r="M1" s="356">
        <v>2012</v>
      </c>
      <c r="N1" s="356">
        <v>2011</v>
      </c>
      <c r="O1" s="356">
        <v>2010</v>
      </c>
      <c r="P1" s="356">
        <v>2009</v>
      </c>
      <c r="Q1" s="356">
        <v>2008</v>
      </c>
      <c r="R1" s="356">
        <v>2007</v>
      </c>
      <c r="S1" s="356">
        <v>2006</v>
      </c>
    </row>
    <row r="2" spans="1:19" x14ac:dyDescent="0.25">
      <c r="A2" s="300" t="s">
        <v>146</v>
      </c>
      <c r="B2" s="352">
        <v>12025</v>
      </c>
      <c r="C2" s="352">
        <v>11830</v>
      </c>
      <c r="D2" s="352">
        <v>11704</v>
      </c>
      <c r="E2" s="352">
        <v>11545</v>
      </c>
      <c r="F2" s="352">
        <v>11321</v>
      </c>
      <c r="G2" s="352">
        <v>10826</v>
      </c>
      <c r="H2" s="352">
        <v>10340</v>
      </c>
      <c r="I2" s="352">
        <v>10318</v>
      </c>
      <c r="J2" s="352">
        <v>9844</v>
      </c>
      <c r="K2" s="352">
        <v>9262</v>
      </c>
      <c r="L2" s="352">
        <v>8939</v>
      </c>
      <c r="M2" s="352">
        <v>8725</v>
      </c>
      <c r="N2" s="352">
        <v>8304</v>
      </c>
      <c r="O2" s="352">
        <v>8249</v>
      </c>
      <c r="P2" s="352">
        <v>8289</v>
      </c>
      <c r="Q2" s="352">
        <v>8190</v>
      </c>
      <c r="R2" s="352">
        <v>8235</v>
      </c>
      <c r="S2" s="352">
        <v>8187</v>
      </c>
    </row>
    <row r="3" spans="1:19" x14ac:dyDescent="0.25">
      <c r="A3" s="300" t="s">
        <v>147</v>
      </c>
      <c r="B3" s="352">
        <v>9956</v>
      </c>
      <c r="C3" s="352">
        <v>9820</v>
      </c>
      <c r="D3" s="352">
        <v>9762</v>
      </c>
      <c r="E3" s="352">
        <v>9610</v>
      </c>
      <c r="F3" s="352">
        <v>9404</v>
      </c>
      <c r="G3" s="352">
        <v>9071</v>
      </c>
      <c r="H3" s="352">
        <v>8623</v>
      </c>
      <c r="I3" s="352">
        <v>8561</v>
      </c>
      <c r="J3" s="352">
        <v>8128</v>
      </c>
      <c r="K3" s="352">
        <v>7652</v>
      </c>
      <c r="L3" s="352">
        <v>7377</v>
      </c>
      <c r="M3" s="352">
        <v>7170</v>
      </c>
      <c r="N3" s="352">
        <v>6925</v>
      </c>
      <c r="O3" s="352">
        <v>6871</v>
      </c>
      <c r="P3" s="352">
        <v>6416</v>
      </c>
      <c r="Q3" s="352">
        <v>6255</v>
      </c>
      <c r="R3" s="352">
        <v>6304</v>
      </c>
      <c r="S3" s="352">
        <v>6256</v>
      </c>
    </row>
    <row r="4" spans="1:19" x14ac:dyDescent="0.25">
      <c r="A4" s="300" t="s">
        <v>148</v>
      </c>
      <c r="B4" s="352">
        <v>347</v>
      </c>
      <c r="C4" s="352">
        <v>273</v>
      </c>
      <c r="D4" s="352">
        <v>270</v>
      </c>
      <c r="E4" s="352">
        <v>285</v>
      </c>
      <c r="F4" s="352">
        <v>288</v>
      </c>
      <c r="G4" s="352">
        <v>273</v>
      </c>
      <c r="H4" s="352">
        <v>271</v>
      </c>
      <c r="I4" s="352">
        <v>316</v>
      </c>
      <c r="J4" s="352">
        <v>316</v>
      </c>
      <c r="K4" s="352">
        <v>283</v>
      </c>
      <c r="L4" s="352">
        <v>283</v>
      </c>
      <c r="M4" s="352">
        <v>283</v>
      </c>
      <c r="N4" s="352">
        <v>283</v>
      </c>
      <c r="O4" s="352">
        <v>283</v>
      </c>
      <c r="P4" s="352">
        <v>303</v>
      </c>
      <c r="Q4" s="352">
        <v>303</v>
      </c>
      <c r="R4" s="352">
        <v>303</v>
      </c>
      <c r="S4" s="352">
        <v>303</v>
      </c>
    </row>
    <row r="5" spans="1:19" x14ac:dyDescent="0.25">
      <c r="A5" s="300" t="s">
        <v>149</v>
      </c>
      <c r="B5" s="352">
        <v>1722</v>
      </c>
      <c r="C5" s="352">
        <v>1737</v>
      </c>
      <c r="D5" s="352">
        <v>1672</v>
      </c>
      <c r="E5" s="352">
        <v>1650</v>
      </c>
      <c r="F5" s="352">
        <v>1629</v>
      </c>
      <c r="G5" s="352">
        <v>1482</v>
      </c>
      <c r="H5" s="352">
        <v>1446</v>
      </c>
      <c r="I5" s="352">
        <v>1441</v>
      </c>
      <c r="J5" s="352">
        <v>1400</v>
      </c>
      <c r="K5" s="352">
        <v>1327</v>
      </c>
      <c r="L5" s="352">
        <v>1279</v>
      </c>
      <c r="M5" s="352">
        <v>1272</v>
      </c>
      <c r="N5" s="352">
        <v>1096</v>
      </c>
      <c r="O5" s="352">
        <v>1095</v>
      </c>
      <c r="P5" s="352">
        <v>1570</v>
      </c>
      <c r="Q5" s="352">
        <v>1632</v>
      </c>
      <c r="R5" s="352">
        <v>1628</v>
      </c>
      <c r="S5" s="352">
        <v>1628</v>
      </c>
    </row>
    <row r="6" spans="1:19" x14ac:dyDescent="0.25">
      <c r="A6" s="300" t="s">
        <v>150</v>
      </c>
      <c r="B6" s="352">
        <v>1950</v>
      </c>
      <c r="C6" s="352">
        <v>1950</v>
      </c>
      <c r="D6" s="352">
        <v>1950</v>
      </c>
      <c r="E6" s="352">
        <v>1950</v>
      </c>
      <c r="F6" s="352">
        <v>1950</v>
      </c>
      <c r="G6" s="352">
        <v>1950</v>
      </c>
      <c r="H6" s="352">
        <v>1950</v>
      </c>
      <c r="I6" s="352">
        <v>1950</v>
      </c>
      <c r="J6" s="352">
        <v>1950</v>
      </c>
      <c r="K6" s="352">
        <v>1950</v>
      </c>
      <c r="L6" s="352">
        <v>2010</v>
      </c>
      <c r="M6" s="352">
        <v>2010</v>
      </c>
      <c r="N6" s="352">
        <v>2010</v>
      </c>
      <c r="O6" s="352">
        <v>2010</v>
      </c>
      <c r="P6" s="352">
        <v>2040</v>
      </c>
      <c r="Q6" s="352">
        <v>2064</v>
      </c>
      <c r="R6" s="352">
        <v>2064</v>
      </c>
      <c r="S6" s="352">
        <v>2113</v>
      </c>
    </row>
    <row r="7" spans="1:19" x14ac:dyDescent="0.25">
      <c r="A7" s="300" t="s">
        <v>147</v>
      </c>
      <c r="B7" s="352">
        <v>1950</v>
      </c>
      <c r="C7" s="352">
        <v>1950</v>
      </c>
      <c r="D7" s="352">
        <v>1950</v>
      </c>
      <c r="E7" s="352">
        <v>1950</v>
      </c>
      <c r="F7" s="352">
        <v>1950</v>
      </c>
      <c r="G7" s="352">
        <v>1950</v>
      </c>
      <c r="H7" s="352">
        <v>1950</v>
      </c>
      <c r="I7" s="352">
        <v>1950</v>
      </c>
      <c r="J7" s="352">
        <v>1950</v>
      </c>
      <c r="K7" s="352">
        <v>1950</v>
      </c>
      <c r="L7" s="352">
        <v>2010</v>
      </c>
      <c r="M7" s="352">
        <v>2010</v>
      </c>
      <c r="N7" s="352">
        <v>2010</v>
      </c>
      <c r="O7" s="352">
        <v>2010</v>
      </c>
      <c r="P7" s="352">
        <v>2040</v>
      </c>
      <c r="Q7" s="352">
        <v>2064</v>
      </c>
      <c r="R7" s="352">
        <v>2064</v>
      </c>
      <c r="S7" s="352">
        <v>2064</v>
      </c>
    </row>
    <row r="8" spans="1:19" x14ac:dyDescent="0.25">
      <c r="A8" s="300" t="s">
        <v>148</v>
      </c>
      <c r="B8" s="352">
        <v>0</v>
      </c>
      <c r="C8" s="352">
        <v>0</v>
      </c>
      <c r="D8" s="352">
        <v>0</v>
      </c>
      <c r="E8" s="352">
        <v>0</v>
      </c>
      <c r="F8" s="352">
        <v>0</v>
      </c>
      <c r="G8" s="352">
        <v>0</v>
      </c>
      <c r="H8" s="352">
        <v>0</v>
      </c>
      <c r="I8" s="352">
        <v>0</v>
      </c>
      <c r="J8" s="352">
        <v>0</v>
      </c>
      <c r="K8" s="352">
        <v>0</v>
      </c>
      <c r="L8" s="352">
        <v>0</v>
      </c>
      <c r="M8" s="352">
        <v>0</v>
      </c>
      <c r="N8" s="352">
        <v>0</v>
      </c>
      <c r="O8" s="352">
        <v>0</v>
      </c>
      <c r="P8" s="352">
        <v>0</v>
      </c>
      <c r="Q8" s="352">
        <v>0</v>
      </c>
      <c r="R8" s="352">
        <v>0</v>
      </c>
      <c r="S8" s="352">
        <v>0</v>
      </c>
    </row>
    <row r="9" spans="1:19" x14ac:dyDescent="0.25">
      <c r="A9" s="300" t="s">
        <v>149</v>
      </c>
      <c r="B9" s="352">
        <v>0</v>
      </c>
      <c r="C9" s="352">
        <v>0</v>
      </c>
      <c r="D9" s="352">
        <v>0</v>
      </c>
      <c r="E9" s="352">
        <v>0</v>
      </c>
      <c r="F9" s="352">
        <v>0</v>
      </c>
      <c r="G9" s="352">
        <v>0</v>
      </c>
      <c r="H9" s="352">
        <v>0</v>
      </c>
      <c r="I9" s="352">
        <v>0</v>
      </c>
      <c r="J9" s="352">
        <v>0</v>
      </c>
      <c r="K9" s="352">
        <v>0</v>
      </c>
      <c r="L9" s="352">
        <v>0</v>
      </c>
      <c r="M9" s="352">
        <v>0</v>
      </c>
      <c r="N9" s="352">
        <v>0</v>
      </c>
      <c r="O9" s="352">
        <v>0</v>
      </c>
      <c r="P9" s="352">
        <v>0</v>
      </c>
      <c r="Q9" s="352">
        <v>0</v>
      </c>
      <c r="R9" s="352">
        <v>0</v>
      </c>
      <c r="S9" s="352">
        <v>49</v>
      </c>
    </row>
    <row r="10" spans="1:19" x14ac:dyDescent="0.25">
      <c r="A10" s="300" t="s">
        <v>151</v>
      </c>
      <c r="B10" s="352">
        <v>2303</v>
      </c>
      <c r="C10" s="352">
        <v>2194</v>
      </c>
      <c r="D10" s="352">
        <v>2011</v>
      </c>
      <c r="E10" s="352">
        <v>2069</v>
      </c>
      <c r="F10" s="352">
        <v>1986</v>
      </c>
      <c r="G10" s="352">
        <v>1778</v>
      </c>
      <c r="H10" s="352">
        <v>1663</v>
      </c>
      <c r="I10" s="352">
        <v>1663</v>
      </c>
      <c r="J10" s="352">
        <v>1464</v>
      </c>
      <c r="K10" s="352">
        <v>1065</v>
      </c>
      <c r="L10" s="352">
        <v>852</v>
      </c>
      <c r="M10" s="352">
        <v>842</v>
      </c>
      <c r="N10" s="352">
        <v>800</v>
      </c>
      <c r="O10" s="352">
        <v>842</v>
      </c>
      <c r="P10" s="352">
        <v>877</v>
      </c>
      <c r="Q10" s="352">
        <v>872</v>
      </c>
      <c r="R10" s="352">
        <v>749</v>
      </c>
      <c r="S10" s="352">
        <v>771</v>
      </c>
    </row>
    <row r="11" spans="1:19" x14ac:dyDescent="0.25">
      <c r="A11" s="300" t="s">
        <v>147</v>
      </c>
      <c r="B11" s="352">
        <v>1331</v>
      </c>
      <c r="C11" s="352">
        <v>1226</v>
      </c>
      <c r="D11" s="352">
        <v>1112</v>
      </c>
      <c r="E11" s="352">
        <v>1130</v>
      </c>
      <c r="F11" s="352">
        <v>974</v>
      </c>
      <c r="G11" s="352">
        <v>799</v>
      </c>
      <c r="H11" s="352">
        <v>690</v>
      </c>
      <c r="I11" s="352">
        <v>690</v>
      </c>
      <c r="J11" s="352">
        <v>503</v>
      </c>
      <c r="K11" s="352">
        <v>142</v>
      </c>
      <c r="L11" s="352">
        <v>110</v>
      </c>
      <c r="M11" s="352">
        <v>100</v>
      </c>
      <c r="N11" s="352">
        <v>100</v>
      </c>
      <c r="O11" s="352">
        <v>0</v>
      </c>
      <c r="P11" s="352">
        <v>0</v>
      </c>
      <c r="Q11" s="352">
        <v>0</v>
      </c>
      <c r="R11" s="352">
        <v>0</v>
      </c>
      <c r="S11" s="352">
        <v>0</v>
      </c>
    </row>
    <row r="12" spans="1:19" x14ac:dyDescent="0.25">
      <c r="A12" s="300" t="s">
        <v>148</v>
      </c>
      <c r="B12" s="352">
        <v>972</v>
      </c>
      <c r="C12" s="352">
        <v>968</v>
      </c>
      <c r="D12" s="352">
        <v>899</v>
      </c>
      <c r="E12" s="352">
        <v>939</v>
      </c>
      <c r="F12" s="352">
        <v>1012</v>
      </c>
      <c r="G12" s="352">
        <v>979</v>
      </c>
      <c r="H12" s="352">
        <v>969</v>
      </c>
      <c r="I12" s="352">
        <v>961</v>
      </c>
      <c r="J12" s="352">
        <v>961</v>
      </c>
      <c r="K12" s="352">
        <v>905</v>
      </c>
      <c r="L12" s="352">
        <v>722</v>
      </c>
      <c r="M12" s="352">
        <v>722</v>
      </c>
      <c r="N12" s="352">
        <v>680</v>
      </c>
      <c r="O12" s="352">
        <v>818</v>
      </c>
      <c r="P12" s="352">
        <v>819</v>
      </c>
      <c r="Q12" s="352">
        <v>814</v>
      </c>
      <c r="R12" s="352">
        <v>691</v>
      </c>
      <c r="S12" s="352">
        <v>713</v>
      </c>
    </row>
    <row r="13" spans="1:19" x14ac:dyDescent="0.25">
      <c r="A13" s="300" t="s">
        <v>149</v>
      </c>
      <c r="B13" s="352">
        <v>0</v>
      </c>
      <c r="C13" s="352">
        <v>0</v>
      </c>
      <c r="D13" s="352">
        <v>0</v>
      </c>
      <c r="E13" s="352">
        <v>0</v>
      </c>
      <c r="F13" s="352">
        <v>0</v>
      </c>
      <c r="G13" s="352">
        <v>0</v>
      </c>
      <c r="H13" s="352">
        <v>4</v>
      </c>
      <c r="I13" s="352">
        <v>12</v>
      </c>
      <c r="J13" s="352">
        <v>0</v>
      </c>
      <c r="K13" s="352">
        <v>18</v>
      </c>
      <c r="L13" s="352">
        <v>20</v>
      </c>
      <c r="M13" s="352">
        <v>20</v>
      </c>
      <c r="N13" s="352">
        <v>20</v>
      </c>
      <c r="O13" s="352">
        <v>24</v>
      </c>
      <c r="P13" s="352">
        <v>58</v>
      </c>
      <c r="Q13" s="352">
        <v>58</v>
      </c>
      <c r="R13" s="352">
        <v>58</v>
      </c>
      <c r="S13" s="352">
        <v>58</v>
      </c>
    </row>
    <row r="14" spans="1:19" x14ac:dyDescent="0.25">
      <c r="A14" s="300" t="s">
        <v>152</v>
      </c>
      <c r="B14" s="352">
        <v>19201</v>
      </c>
      <c r="C14" s="352">
        <v>18157</v>
      </c>
      <c r="D14" s="352">
        <v>17064</v>
      </c>
      <c r="E14" s="352">
        <v>16221</v>
      </c>
      <c r="F14" s="352">
        <v>16059</v>
      </c>
      <c r="G14" s="352">
        <v>15205</v>
      </c>
      <c r="H14" s="352">
        <v>14918</v>
      </c>
      <c r="I14" s="352">
        <v>13022</v>
      </c>
      <c r="J14" s="352">
        <v>12185</v>
      </c>
      <c r="K14" s="352">
        <v>10968</v>
      </c>
      <c r="L14" s="352">
        <v>10838</v>
      </c>
      <c r="M14" s="352">
        <v>9721</v>
      </c>
      <c r="N14" s="352">
        <v>9690</v>
      </c>
      <c r="O14" s="352">
        <v>9551</v>
      </c>
      <c r="P14" s="352">
        <v>9442</v>
      </c>
      <c r="Q14" s="352">
        <v>9806</v>
      </c>
      <c r="R14" s="352">
        <v>9626</v>
      </c>
      <c r="S14" s="352">
        <v>9456</v>
      </c>
    </row>
    <row r="15" spans="1:19" x14ac:dyDescent="0.25">
      <c r="A15" s="300" t="s">
        <v>147</v>
      </c>
      <c r="B15" s="352">
        <v>8573</v>
      </c>
      <c r="C15" s="352">
        <v>8087</v>
      </c>
      <c r="D15" s="352">
        <v>7099</v>
      </c>
      <c r="E15" s="352">
        <v>6391</v>
      </c>
      <c r="F15" s="352">
        <v>6238</v>
      </c>
      <c r="G15" s="352">
        <v>5581</v>
      </c>
      <c r="H15" s="352">
        <v>5281</v>
      </c>
      <c r="I15" s="352">
        <v>3110</v>
      </c>
      <c r="J15" s="352">
        <v>2488</v>
      </c>
      <c r="K15" s="352">
        <v>1372</v>
      </c>
      <c r="L15" s="352">
        <v>1230</v>
      </c>
      <c r="M15" s="352">
        <v>202</v>
      </c>
      <c r="N15" s="352">
        <v>250</v>
      </c>
      <c r="O15" s="352">
        <v>0</v>
      </c>
      <c r="P15" s="352">
        <v>0</v>
      </c>
      <c r="Q15" s="352">
        <v>0</v>
      </c>
      <c r="R15" s="352">
        <v>0</v>
      </c>
      <c r="S15" s="352">
        <v>0</v>
      </c>
    </row>
    <row r="16" spans="1:19" x14ac:dyDescent="0.25">
      <c r="A16" s="300" t="s">
        <v>148</v>
      </c>
      <c r="B16" s="352">
        <v>6154</v>
      </c>
      <c r="C16" s="352">
        <v>6138</v>
      </c>
      <c r="D16" s="352">
        <v>6060</v>
      </c>
      <c r="E16" s="352">
        <v>5963</v>
      </c>
      <c r="F16" s="352">
        <v>5963</v>
      </c>
      <c r="G16" s="352">
        <v>5953</v>
      </c>
      <c r="H16" s="352">
        <v>5872</v>
      </c>
      <c r="I16" s="352">
        <v>6058</v>
      </c>
      <c r="J16" s="352">
        <v>5802</v>
      </c>
      <c r="K16" s="352">
        <v>6021</v>
      </c>
      <c r="L16" s="352">
        <v>5924</v>
      </c>
      <c r="M16" s="352">
        <v>6119</v>
      </c>
      <c r="N16" s="352">
        <v>6137</v>
      </c>
      <c r="O16" s="352">
        <v>6293</v>
      </c>
      <c r="P16" s="352">
        <v>6262</v>
      </c>
      <c r="Q16" s="352">
        <v>6149</v>
      </c>
      <c r="R16" s="352">
        <v>6122</v>
      </c>
      <c r="S16" s="352">
        <v>6174</v>
      </c>
    </row>
    <row r="17" spans="1:31" x14ac:dyDescent="0.25">
      <c r="A17" s="300" t="s">
        <v>149</v>
      </c>
      <c r="B17" s="352">
        <v>4474</v>
      </c>
      <c r="C17" s="352">
        <v>3932</v>
      </c>
      <c r="D17" s="352">
        <v>3905</v>
      </c>
      <c r="E17" s="352">
        <v>3867</v>
      </c>
      <c r="F17" s="352">
        <v>3858</v>
      </c>
      <c r="G17" s="352">
        <v>3671</v>
      </c>
      <c r="H17" s="352">
        <v>3765</v>
      </c>
      <c r="I17" s="352">
        <v>3854</v>
      </c>
      <c r="J17" s="352">
        <v>3895</v>
      </c>
      <c r="K17" s="352">
        <v>3575</v>
      </c>
      <c r="L17" s="352">
        <v>3684</v>
      </c>
      <c r="M17" s="352">
        <v>3400</v>
      </c>
      <c r="N17" s="352">
        <v>3303</v>
      </c>
      <c r="O17" s="352">
        <v>3258</v>
      </c>
      <c r="P17" s="352">
        <v>3180</v>
      </c>
      <c r="Q17" s="352">
        <v>3657</v>
      </c>
      <c r="R17" s="352">
        <v>3504</v>
      </c>
      <c r="S17" s="352">
        <v>3282</v>
      </c>
    </row>
    <row r="18" spans="1:31" x14ac:dyDescent="0.25">
      <c r="A18" s="300" t="s">
        <v>153</v>
      </c>
      <c r="B18" s="352">
        <v>284</v>
      </c>
      <c r="C18" s="352">
        <v>264</v>
      </c>
      <c r="D18" s="352">
        <v>264</v>
      </c>
      <c r="E18" s="352">
        <v>253</v>
      </c>
      <c r="F18" s="353" t="s">
        <v>154</v>
      </c>
      <c r="G18" s="353" t="s">
        <v>154</v>
      </c>
      <c r="H18" s="353" t="s">
        <v>154</v>
      </c>
      <c r="I18" s="353" t="s">
        <v>154</v>
      </c>
      <c r="J18" s="353" t="s">
        <v>154</v>
      </c>
      <c r="K18" s="353" t="s">
        <v>154</v>
      </c>
      <c r="L18" s="353" t="s">
        <v>154</v>
      </c>
      <c r="M18" s="353" t="s">
        <v>154</v>
      </c>
      <c r="N18" s="353" t="s">
        <v>154</v>
      </c>
      <c r="O18" s="353" t="s">
        <v>154</v>
      </c>
      <c r="P18" s="353" t="s">
        <v>154</v>
      </c>
      <c r="Q18" s="353" t="s">
        <v>154</v>
      </c>
      <c r="R18" s="353" t="s">
        <v>154</v>
      </c>
      <c r="S18" s="353" t="s">
        <v>154</v>
      </c>
    </row>
    <row r="19" spans="1:31" x14ac:dyDescent="0.25">
      <c r="A19" s="300" t="s">
        <v>147</v>
      </c>
      <c r="B19" s="352">
        <v>64</v>
      </c>
      <c r="C19" s="352">
        <v>64</v>
      </c>
      <c r="D19" s="352">
        <v>64</v>
      </c>
      <c r="E19" s="352">
        <v>60</v>
      </c>
      <c r="F19" s="353" t="s">
        <v>154</v>
      </c>
      <c r="G19" s="353" t="s">
        <v>154</v>
      </c>
      <c r="H19" s="353" t="s">
        <v>154</v>
      </c>
      <c r="I19" s="353" t="s">
        <v>154</v>
      </c>
      <c r="J19" s="353" t="s">
        <v>154</v>
      </c>
      <c r="K19" s="353" t="s">
        <v>154</v>
      </c>
      <c r="L19" s="353" t="s">
        <v>154</v>
      </c>
      <c r="M19" s="353" t="s">
        <v>154</v>
      </c>
      <c r="N19" s="353" t="s">
        <v>154</v>
      </c>
      <c r="O19" s="353" t="s">
        <v>154</v>
      </c>
      <c r="P19" s="353" t="s">
        <v>154</v>
      </c>
      <c r="Q19" s="353" t="s">
        <v>154</v>
      </c>
      <c r="R19" s="353" t="s">
        <v>154</v>
      </c>
      <c r="S19" s="353" t="s">
        <v>154</v>
      </c>
    </row>
    <row r="20" spans="1:31" x14ac:dyDescent="0.25">
      <c r="A20" s="300" t="s">
        <v>148</v>
      </c>
      <c r="B20" s="352">
        <v>220</v>
      </c>
      <c r="C20" s="352">
        <v>200</v>
      </c>
      <c r="D20" s="352">
        <v>200</v>
      </c>
      <c r="E20" s="352">
        <v>193</v>
      </c>
      <c r="F20" s="353" t="s">
        <v>154</v>
      </c>
      <c r="G20" s="353" t="s">
        <v>154</v>
      </c>
      <c r="H20" s="353" t="s">
        <v>154</v>
      </c>
      <c r="I20" s="353" t="s">
        <v>154</v>
      </c>
      <c r="J20" s="353" t="s">
        <v>154</v>
      </c>
      <c r="K20" s="353" t="s">
        <v>154</v>
      </c>
      <c r="L20" s="353" t="s">
        <v>154</v>
      </c>
      <c r="M20" s="353" t="s">
        <v>154</v>
      </c>
      <c r="N20" s="353" t="s">
        <v>154</v>
      </c>
      <c r="O20" s="353" t="s">
        <v>154</v>
      </c>
      <c r="P20" s="353" t="s">
        <v>154</v>
      </c>
      <c r="Q20" s="353" t="s">
        <v>154</v>
      </c>
      <c r="R20" s="353" t="s">
        <v>154</v>
      </c>
      <c r="S20" s="353" t="s">
        <v>154</v>
      </c>
    </row>
    <row r="21" spans="1:31" x14ac:dyDescent="0.25">
      <c r="A21" s="300" t="s">
        <v>149</v>
      </c>
      <c r="B21" s="352">
        <v>0</v>
      </c>
      <c r="C21" s="352">
        <v>0</v>
      </c>
      <c r="D21" s="352">
        <v>0</v>
      </c>
      <c r="E21" s="352">
        <v>0</v>
      </c>
      <c r="F21" s="353" t="s">
        <v>154</v>
      </c>
      <c r="G21" s="353" t="s">
        <v>154</v>
      </c>
      <c r="H21" s="353" t="s">
        <v>154</v>
      </c>
      <c r="I21" s="353" t="s">
        <v>154</v>
      </c>
      <c r="J21" s="353" t="s">
        <v>154</v>
      </c>
      <c r="K21" s="353" t="s">
        <v>154</v>
      </c>
      <c r="L21" s="353" t="s">
        <v>154</v>
      </c>
      <c r="M21" s="353" t="s">
        <v>154</v>
      </c>
      <c r="N21" s="353" t="s">
        <v>154</v>
      </c>
      <c r="O21" s="353" t="s">
        <v>154</v>
      </c>
      <c r="P21" s="353" t="s">
        <v>154</v>
      </c>
      <c r="Q21" s="353" t="s">
        <v>154</v>
      </c>
      <c r="R21" s="353" t="s">
        <v>154</v>
      </c>
      <c r="S21" s="353" t="s">
        <v>154</v>
      </c>
    </row>
    <row r="23" spans="1:31" x14ac:dyDescent="0.25">
      <c r="A23" s="345" t="s">
        <v>155</v>
      </c>
      <c r="E23" s="300"/>
    </row>
    <row r="24" spans="1:31" x14ac:dyDescent="0.25">
      <c r="A24" s="345" t="s">
        <v>156</v>
      </c>
      <c r="B24" s="346">
        <f>'M2 BOR &amp; Tradeoff analysis'!B9</f>
        <v>3.5299999999999998E-2</v>
      </c>
      <c r="E24" s="300"/>
    </row>
    <row r="25" spans="1:31" ht="12.75" customHeight="1" x14ac:dyDescent="0.25">
      <c r="B25" s="488" t="s">
        <v>116</v>
      </c>
      <c r="C25" s="489"/>
      <c r="D25" s="489"/>
      <c r="E25" s="489"/>
      <c r="F25" s="489"/>
      <c r="G25" s="489"/>
      <c r="H25" s="489"/>
      <c r="I25" s="489"/>
      <c r="J25" s="489"/>
      <c r="K25" s="489"/>
      <c r="L25" s="490"/>
      <c r="M25" s="488" t="s">
        <v>157</v>
      </c>
      <c r="N25" s="491"/>
      <c r="O25" s="491"/>
      <c r="P25" s="491"/>
      <c r="Q25" s="491"/>
      <c r="R25" s="491"/>
      <c r="S25" s="491"/>
      <c r="T25" s="491"/>
      <c r="U25" s="491"/>
      <c r="V25" s="491"/>
      <c r="W25" s="491"/>
      <c r="X25" s="491"/>
      <c r="Y25" s="491"/>
      <c r="Z25" s="491"/>
      <c r="AA25" s="491"/>
      <c r="AB25" s="491"/>
      <c r="AC25" s="491"/>
      <c r="AD25" s="491"/>
      <c r="AE25" s="491"/>
    </row>
    <row r="26" spans="1:31" x14ac:dyDescent="0.25">
      <c r="A26" s="350" t="s">
        <v>145</v>
      </c>
      <c r="B26" s="454">
        <v>2035</v>
      </c>
      <c r="C26" s="347">
        <f>B26-1</f>
        <v>2034</v>
      </c>
      <c r="D26" s="347">
        <f t="shared" ref="D26:L26" si="0">C26-1</f>
        <v>2033</v>
      </c>
      <c r="E26" s="347">
        <f t="shared" si="0"/>
        <v>2032</v>
      </c>
      <c r="F26" s="347">
        <f t="shared" si="0"/>
        <v>2031</v>
      </c>
      <c r="G26" s="347">
        <f t="shared" si="0"/>
        <v>2030</v>
      </c>
      <c r="H26" s="347">
        <f t="shared" si="0"/>
        <v>2029</v>
      </c>
      <c r="I26" s="347">
        <f t="shared" si="0"/>
        <v>2028</v>
      </c>
      <c r="J26" s="347">
        <f t="shared" si="0"/>
        <v>2027</v>
      </c>
      <c r="K26" s="347">
        <f t="shared" si="0"/>
        <v>2026</v>
      </c>
      <c r="L26" s="348">
        <f t="shared" si="0"/>
        <v>2025</v>
      </c>
      <c r="M26" s="349">
        <v>2024</v>
      </c>
      <c r="N26" s="350">
        <v>2023</v>
      </c>
      <c r="O26" s="349">
        <v>2022</v>
      </c>
      <c r="P26" s="349">
        <v>2021</v>
      </c>
      <c r="Q26" s="349">
        <v>2020</v>
      </c>
      <c r="R26" s="349">
        <v>2019</v>
      </c>
      <c r="S26" s="349">
        <v>2018</v>
      </c>
      <c r="T26" s="349">
        <v>2017</v>
      </c>
      <c r="U26" s="349">
        <v>2016</v>
      </c>
      <c r="V26" s="349">
        <v>2015</v>
      </c>
      <c r="W26" s="349">
        <v>2014</v>
      </c>
      <c r="X26" s="349">
        <v>2013</v>
      </c>
      <c r="Y26" s="349">
        <v>2012</v>
      </c>
      <c r="Z26" s="349">
        <v>2011</v>
      </c>
      <c r="AA26" s="349">
        <v>2010</v>
      </c>
      <c r="AB26" s="349">
        <v>2009</v>
      </c>
      <c r="AC26" s="349">
        <v>2008</v>
      </c>
      <c r="AD26" s="349">
        <v>2007</v>
      </c>
      <c r="AE26" s="351">
        <v>2006</v>
      </c>
    </row>
    <row r="27" spans="1:31" x14ac:dyDescent="0.25">
      <c r="A27" s="301" t="s">
        <v>158</v>
      </c>
      <c r="B27" s="306">
        <f>MAX(0, _xlfn.FORECAST.LINEAR(B26, $B$3:$S$3,$B$1:$S$1)*(1+$B$24)^(B26-2024))</f>
        <v>19336.378227286612</v>
      </c>
      <c r="C27" s="302">
        <f t="shared" ref="C27:M27" si="1">MAX(0, _xlfn.FORECAST.LINEAR(C26, $B$3:$S$3,$B$1:$S$1)*(1+$B$24)^(C26-2024))</f>
        <v>18318.692934985269</v>
      </c>
      <c r="D27" s="302">
        <f t="shared" si="1"/>
        <v>17347.926663513688</v>
      </c>
      <c r="E27" s="302">
        <f t="shared" si="1"/>
        <v>16422.062998322981</v>
      </c>
      <c r="F27" s="302">
        <f t="shared" si="1"/>
        <v>15539.168483428399</v>
      </c>
      <c r="G27" s="302">
        <f t="shared" si="1"/>
        <v>14697.389308444264</v>
      </c>
      <c r="H27" s="302">
        <f t="shared" si="1"/>
        <v>13894.94812509536</v>
      </c>
      <c r="I27" s="302">
        <f t="shared" si="1"/>
        <v>13130.14098822545</v>
      </c>
      <c r="J27" s="302">
        <f t="shared" si="1"/>
        <v>12401.334416515208</v>
      </c>
      <c r="K27" s="302">
        <f t="shared" si="1"/>
        <v>11706.96256830208</v>
      </c>
      <c r="L27" s="302">
        <f t="shared" si="1"/>
        <v>11045.524528070204</v>
      </c>
      <c r="M27" s="302">
        <f t="shared" si="1"/>
        <v>10415.581699346425</v>
      </c>
      <c r="N27" s="303">
        <f>B3</f>
        <v>9956</v>
      </c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5"/>
    </row>
    <row r="28" spans="1:31" x14ac:dyDescent="0.25">
      <c r="A28" s="301" t="s">
        <v>159</v>
      </c>
      <c r="B28" s="306">
        <f>ROUNDUP(C28*(1+$B$24),0)</f>
        <v>17583</v>
      </c>
      <c r="C28" s="307">
        <f t="shared" ref="C28:K28" si="2">ROUNDUP(D28*(1+$B$24),0)</f>
        <v>16983</v>
      </c>
      <c r="D28" s="307">
        <f t="shared" si="2"/>
        <v>16403</v>
      </c>
      <c r="E28" s="307">
        <f t="shared" si="2"/>
        <v>15843</v>
      </c>
      <c r="F28" s="307">
        <f t="shared" si="2"/>
        <v>15302</v>
      </c>
      <c r="G28" s="307">
        <f t="shared" si="2"/>
        <v>14780</v>
      </c>
      <c r="H28" s="307">
        <f t="shared" si="2"/>
        <v>14276</v>
      </c>
      <c r="I28" s="307">
        <f t="shared" si="2"/>
        <v>13789</v>
      </c>
      <c r="J28" s="307">
        <f t="shared" si="2"/>
        <v>13318</v>
      </c>
      <c r="K28" s="307">
        <f t="shared" si="2"/>
        <v>12863</v>
      </c>
      <c r="L28" s="308">
        <f>ROUNDUP(M28*(1+$B$24),0)</f>
        <v>12424</v>
      </c>
      <c r="M28" s="309">
        <f>'M2 BOR &amp; Tradeoff analysis'!B7</f>
        <v>12000</v>
      </c>
      <c r="N28" s="303">
        <f>B3</f>
        <v>9956</v>
      </c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310"/>
    </row>
    <row r="29" spans="1:31" x14ac:dyDescent="0.25">
      <c r="A29" s="311" t="s">
        <v>160</v>
      </c>
      <c r="B29" s="306">
        <f>B28</f>
        <v>17583</v>
      </c>
      <c r="C29" s="307">
        <f t="shared" ref="C29:M29" si="3">C28</f>
        <v>16983</v>
      </c>
      <c r="D29" s="307">
        <f t="shared" si="3"/>
        <v>16403</v>
      </c>
      <c r="E29" s="307">
        <f t="shared" si="3"/>
        <v>15843</v>
      </c>
      <c r="F29" s="307">
        <f t="shared" si="3"/>
        <v>15302</v>
      </c>
      <c r="G29" s="307">
        <f t="shared" si="3"/>
        <v>14780</v>
      </c>
      <c r="H29" s="307">
        <f t="shared" si="3"/>
        <v>14276</v>
      </c>
      <c r="I29" s="307">
        <f t="shared" si="3"/>
        <v>13789</v>
      </c>
      <c r="J29" s="307">
        <f t="shared" si="3"/>
        <v>13318</v>
      </c>
      <c r="K29" s="307">
        <f t="shared" si="3"/>
        <v>12863</v>
      </c>
      <c r="L29" s="308">
        <f t="shared" si="3"/>
        <v>12424</v>
      </c>
      <c r="M29" s="307">
        <f t="shared" si="3"/>
        <v>12000</v>
      </c>
      <c r="N29" s="303">
        <v>9956</v>
      </c>
      <c r="O29" s="303">
        <v>9820</v>
      </c>
      <c r="P29" s="303">
        <v>9762</v>
      </c>
      <c r="Q29" s="303">
        <v>9610</v>
      </c>
      <c r="R29" s="303">
        <v>9404</v>
      </c>
      <c r="S29" s="303">
        <v>9071</v>
      </c>
      <c r="T29" s="303">
        <v>8623</v>
      </c>
      <c r="U29" s="303">
        <v>8561</v>
      </c>
      <c r="V29" s="303">
        <v>8128</v>
      </c>
      <c r="W29" s="303">
        <v>7652</v>
      </c>
      <c r="X29" s="303">
        <v>7377</v>
      </c>
      <c r="Y29" s="303">
        <v>7170</v>
      </c>
      <c r="Z29" s="303">
        <v>6925</v>
      </c>
      <c r="AA29" s="303">
        <v>6871</v>
      </c>
      <c r="AB29" s="303">
        <v>6416</v>
      </c>
      <c r="AC29" s="303">
        <v>6255</v>
      </c>
      <c r="AD29" s="303">
        <v>6304</v>
      </c>
      <c r="AE29" s="312">
        <v>6256</v>
      </c>
    </row>
    <row r="30" spans="1:31" x14ac:dyDescent="0.25">
      <c r="A30" s="234" t="s">
        <v>161</v>
      </c>
      <c r="B30" s="313"/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5"/>
      <c r="N30" s="316">
        <v>9956</v>
      </c>
      <c r="O30" s="316">
        <v>9820</v>
      </c>
      <c r="P30" s="316">
        <v>9762</v>
      </c>
      <c r="Q30" s="316">
        <v>9610</v>
      </c>
      <c r="R30" s="316">
        <v>9404</v>
      </c>
      <c r="S30" s="316">
        <v>9071</v>
      </c>
      <c r="T30" s="316">
        <v>8623</v>
      </c>
      <c r="U30" s="316">
        <v>8561</v>
      </c>
      <c r="V30" s="316">
        <v>8128</v>
      </c>
      <c r="W30" s="316">
        <v>7652</v>
      </c>
      <c r="X30" s="316">
        <v>7377</v>
      </c>
      <c r="Y30" s="316">
        <v>7170</v>
      </c>
      <c r="Z30" s="316">
        <v>6925</v>
      </c>
      <c r="AA30" s="316">
        <v>6871</v>
      </c>
      <c r="AB30" s="316">
        <v>6416</v>
      </c>
      <c r="AC30" s="316">
        <v>6255</v>
      </c>
      <c r="AD30" s="316">
        <v>6304</v>
      </c>
      <c r="AE30" s="317">
        <v>6256</v>
      </c>
    </row>
    <row r="33" spans="11:20" x14ac:dyDescent="0.25">
      <c r="K33" s="300"/>
      <c r="L33" s="84" t="s">
        <v>162</v>
      </c>
    </row>
    <row r="34" spans="11:20" ht="18.75" customHeight="1" x14ac:dyDescent="0.25">
      <c r="K34" s="300"/>
      <c r="L34" s="318" t="s">
        <v>163</v>
      </c>
      <c r="M34" s="300"/>
      <c r="N34" s="300"/>
      <c r="O34" s="300"/>
      <c r="P34" s="300"/>
      <c r="Q34" s="300"/>
      <c r="R34" s="300"/>
    </row>
    <row r="35" spans="11:20" ht="14.1" customHeight="1" x14ac:dyDescent="0.25">
      <c r="K35" s="300"/>
      <c r="L35" s="300" t="s">
        <v>164</v>
      </c>
      <c r="M35" s="300"/>
      <c r="N35" s="300"/>
      <c r="O35" s="300"/>
      <c r="P35" s="300"/>
      <c r="Q35" s="300"/>
      <c r="R35" s="300"/>
      <c r="S35" s="300"/>
      <c r="T35" s="300"/>
    </row>
    <row r="36" spans="11:20" ht="14.1" customHeight="1" x14ac:dyDescent="0.25">
      <c r="K36" s="300"/>
      <c r="L36" s="300" t="s">
        <v>165</v>
      </c>
      <c r="M36" s="300"/>
      <c r="N36" s="300"/>
      <c r="O36" s="300"/>
      <c r="P36" s="300"/>
      <c r="Q36" s="300"/>
      <c r="R36" s="300"/>
      <c r="S36" s="300"/>
      <c r="T36" s="300"/>
    </row>
    <row r="37" spans="11:20" x14ac:dyDescent="0.25">
      <c r="K37" s="300"/>
      <c r="L37" s="300" t="s">
        <v>166</v>
      </c>
      <c r="M37" s="300"/>
      <c r="N37" s="300"/>
      <c r="O37" s="300"/>
      <c r="P37" s="300"/>
      <c r="Q37" s="300"/>
      <c r="R37" s="300"/>
      <c r="S37" s="300"/>
      <c r="T37" s="300"/>
    </row>
    <row r="38" spans="11:20" x14ac:dyDescent="0.25">
      <c r="K38" s="300"/>
      <c r="L38" s="300" t="s">
        <v>167</v>
      </c>
      <c r="M38" s="300"/>
      <c r="N38" s="300"/>
      <c r="O38" s="300"/>
      <c r="P38" s="300"/>
      <c r="Q38" s="300"/>
      <c r="R38" s="300"/>
      <c r="S38" s="300"/>
      <c r="T38" s="300"/>
    </row>
    <row r="39" spans="11:20" x14ac:dyDescent="0.25">
      <c r="K39" s="300"/>
      <c r="L39" s="300" t="s">
        <v>168</v>
      </c>
      <c r="M39" s="300"/>
      <c r="N39" s="300"/>
      <c r="O39" s="300"/>
      <c r="P39" s="300"/>
      <c r="Q39" s="300"/>
      <c r="R39" s="300"/>
      <c r="S39" s="300"/>
      <c r="T39" s="300"/>
    </row>
    <row r="40" spans="11:20" x14ac:dyDescent="0.25">
      <c r="K40" s="300"/>
      <c r="L40" s="300"/>
      <c r="M40" s="300"/>
      <c r="N40" s="300"/>
      <c r="O40" s="300"/>
      <c r="P40" s="300"/>
      <c r="Q40" s="300"/>
      <c r="R40" s="300"/>
      <c r="S40" s="300"/>
      <c r="T40" s="300"/>
    </row>
    <row r="41" spans="11:20" x14ac:dyDescent="0.25">
      <c r="L41" s="37" t="s">
        <v>169</v>
      </c>
    </row>
    <row r="42" spans="11:20" x14ac:dyDescent="0.25">
      <c r="L42" s="37" t="s">
        <v>170</v>
      </c>
    </row>
    <row r="43" spans="11:20" x14ac:dyDescent="0.25">
      <c r="L43" s="37" t="s">
        <v>171</v>
      </c>
    </row>
    <row r="45" spans="11:20" x14ac:dyDescent="0.25">
      <c r="L45" s="186" t="s">
        <v>172</v>
      </c>
    </row>
    <row r="47" spans="11:20" x14ac:dyDescent="0.25">
      <c r="L47" s="37" t="s">
        <v>173</v>
      </c>
      <c r="N47" s="37" t="str">
        <f ca="1">_xlfn.FORMULATEXT(B27)</f>
        <v>=MAX(0, FORECAST.LINEAR(B26, $B$3:$S$3,$B$1:$S$1)*(1+$B$24)^(B26-2024))</v>
      </c>
    </row>
    <row r="48" spans="11:20" x14ac:dyDescent="0.25">
      <c r="L48" s="37" t="s">
        <v>174</v>
      </c>
      <c r="N48" s="37" t="str">
        <f ca="1">_xlfn.FORMULATEXT(B28)</f>
        <v>=ROUNDUP(C28*(1+$B$24),0)</v>
      </c>
    </row>
  </sheetData>
  <mergeCells count="2">
    <mergeCell ref="B25:L25"/>
    <mergeCell ref="M25:AE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EBF0-E648-4F44-8251-4E1C2E4D853D}">
  <dimension ref="A1:Y70"/>
  <sheetViews>
    <sheetView zoomScale="88" zoomScaleNormal="88" workbookViewId="0"/>
  </sheetViews>
  <sheetFormatPr defaultColWidth="10.88671875" defaultRowHeight="13.2" x14ac:dyDescent="0.25"/>
  <cols>
    <col min="1" max="2" width="25.109375" style="37" customWidth="1"/>
    <col min="3" max="3" width="28.33203125" style="37" customWidth="1"/>
    <col min="4" max="4" width="14.109375" style="37" customWidth="1"/>
    <col min="5" max="5" width="18.109375" style="37" customWidth="1"/>
    <col min="6" max="6" width="17.33203125" style="37" customWidth="1"/>
    <col min="7" max="7" width="21.33203125" style="37" customWidth="1"/>
    <col min="8" max="8" width="15" style="37" customWidth="1"/>
    <col min="9" max="9" width="14.6640625" style="37" customWidth="1"/>
    <col min="10" max="10" width="11.44140625" style="37" customWidth="1"/>
    <col min="11" max="11" width="10.88671875" style="37" customWidth="1"/>
    <col min="12" max="12" width="17.6640625" style="37" customWidth="1"/>
    <col min="13" max="13" width="54.109375" style="37" customWidth="1"/>
    <col min="14" max="14" width="31.6640625" style="37" customWidth="1"/>
    <col min="15" max="15" width="13.44140625" style="37" customWidth="1"/>
    <col min="16" max="16" width="48.6640625" style="37" customWidth="1"/>
    <col min="17" max="17" width="10.88671875" style="37"/>
    <col min="18" max="18" width="17.88671875" style="37" customWidth="1"/>
    <col min="19" max="16384" width="10.88671875" style="37"/>
  </cols>
  <sheetData>
    <row r="1" spans="1:20" x14ac:dyDescent="0.25">
      <c r="A1" s="84" t="s">
        <v>175</v>
      </c>
      <c r="N1" s="239" t="s">
        <v>176</v>
      </c>
    </row>
    <row r="2" spans="1:20" x14ac:dyDescent="0.25">
      <c r="A2" s="499" t="s">
        <v>177</v>
      </c>
      <c r="B2" s="500"/>
      <c r="C2" s="500"/>
      <c r="D2" s="500"/>
      <c r="E2" s="500"/>
      <c r="F2" s="501"/>
      <c r="H2" s="239"/>
      <c r="N2" s="239" t="s">
        <v>178</v>
      </c>
      <c r="O2" s="84"/>
      <c r="P2" s="84"/>
      <c r="Q2" s="84"/>
      <c r="R2" s="84"/>
    </row>
    <row r="3" spans="1:20" x14ac:dyDescent="0.25">
      <c r="A3" s="240" t="s">
        <v>179</v>
      </c>
      <c r="B3" s="241" t="s">
        <v>180</v>
      </c>
      <c r="C3" s="241" t="s">
        <v>181</v>
      </c>
      <c r="E3" s="242" t="s">
        <v>182</v>
      </c>
      <c r="F3" s="243" t="s">
        <v>183</v>
      </c>
      <c r="H3" s="88"/>
      <c r="J3" s="226"/>
      <c r="N3" s="97">
        <v>0.02</v>
      </c>
      <c r="O3" s="239"/>
      <c r="P3" s="239"/>
    </row>
    <row r="4" spans="1:20" x14ac:dyDescent="0.25">
      <c r="A4" s="244" t="s">
        <v>184</v>
      </c>
      <c r="B4" s="245">
        <v>0.95</v>
      </c>
      <c r="C4" s="246"/>
      <c r="E4" s="247">
        <v>2025</v>
      </c>
      <c r="F4" s="248">
        <f>INDEX('M2 Beds'!$B$29:$N$29, MATCH(E4, 'M2 Beds'!$B$26:$N$26, 0))</f>
        <v>12424</v>
      </c>
      <c r="H4" s="97"/>
      <c r="I4" s="97"/>
      <c r="N4" s="97">
        <v>2.3E-2</v>
      </c>
      <c r="P4" s="191"/>
      <c r="T4" s="186"/>
    </row>
    <row r="5" spans="1:20" x14ac:dyDescent="0.25">
      <c r="A5" s="244" t="s">
        <v>185</v>
      </c>
      <c r="B5" s="245">
        <v>0.8</v>
      </c>
      <c r="C5" s="246" t="s">
        <v>186</v>
      </c>
      <c r="D5" s="186"/>
      <c r="E5" s="249">
        <f>E4+1</f>
        <v>2026</v>
      </c>
      <c r="F5" s="248">
        <f>INDEX('M2 Beds'!$B$29:$N$29, MATCH(E5, 'M2 Beds'!$B$26:$N$26, 0))</f>
        <v>12863</v>
      </c>
      <c r="H5" s="88"/>
      <c r="M5" s="191"/>
      <c r="N5" s="97">
        <v>0.03</v>
      </c>
      <c r="O5" s="230"/>
      <c r="P5" s="191"/>
      <c r="Q5" s="191"/>
      <c r="T5" s="186"/>
    </row>
    <row r="6" spans="1:20" x14ac:dyDescent="0.25">
      <c r="A6" s="244" t="s">
        <v>187</v>
      </c>
      <c r="B6" s="245">
        <v>0.85</v>
      </c>
      <c r="C6" s="246" t="s">
        <v>186</v>
      </c>
      <c r="D6" s="186"/>
      <c r="E6" s="249">
        <f t="shared" ref="E6:E14" si="0">E5+1</f>
        <v>2027</v>
      </c>
      <c r="F6" s="248">
        <f>INDEX('M2 Beds'!$B$29:$N$29, MATCH(E6, 'M2 Beds'!$B$26:$N$26, 0))</f>
        <v>13318</v>
      </c>
      <c r="H6" s="97"/>
      <c r="M6" s="191"/>
      <c r="N6" s="97">
        <v>3.5299999999999998E-2</v>
      </c>
      <c r="P6" s="191"/>
      <c r="Q6" s="191"/>
      <c r="T6" s="186"/>
    </row>
    <row r="7" spans="1:20" x14ac:dyDescent="0.25">
      <c r="A7" s="244" t="s">
        <v>188</v>
      </c>
      <c r="B7" s="250">
        <v>12000</v>
      </c>
      <c r="C7" s="205" t="s">
        <v>189</v>
      </c>
      <c r="D7" s="512" t="s">
        <v>190</v>
      </c>
      <c r="E7" s="298">
        <f t="shared" si="0"/>
        <v>2028</v>
      </c>
      <c r="F7" s="248">
        <f>INDEX('M2 Beds'!$B$29:$N$29, MATCH(E7, 'M2 Beds'!$B$26:$N$26, 0))</f>
        <v>13789</v>
      </c>
      <c r="H7" s="239"/>
      <c r="M7" s="191"/>
      <c r="N7" s="239" t="s">
        <v>191</v>
      </c>
      <c r="P7" s="191"/>
      <c r="Q7" s="191"/>
      <c r="T7" s="186"/>
    </row>
    <row r="8" spans="1:20" ht="17.100000000000001" customHeight="1" x14ac:dyDescent="0.25">
      <c r="A8" s="251" t="s">
        <v>191</v>
      </c>
      <c r="B8" s="252">
        <v>6</v>
      </c>
      <c r="C8" s="299" t="s">
        <v>192</v>
      </c>
      <c r="D8" s="512"/>
      <c r="E8" s="298">
        <f t="shared" si="0"/>
        <v>2029</v>
      </c>
      <c r="F8" s="248">
        <f>INDEX('M2 Beds'!$B$29:$N$29, MATCH(E8, 'M2 Beds'!$B$26:$N$26, 0))</f>
        <v>14276</v>
      </c>
      <c r="M8" s="191"/>
      <c r="N8" s="37">
        <v>5.5</v>
      </c>
      <c r="P8" s="253"/>
      <c r="Q8" s="191"/>
      <c r="T8" s="186"/>
    </row>
    <row r="9" spans="1:20" x14ac:dyDescent="0.25">
      <c r="A9" s="254" t="s">
        <v>193</v>
      </c>
      <c r="B9" s="255">
        <v>3.5299999999999998E-2</v>
      </c>
      <c r="C9" s="193" t="s">
        <v>189</v>
      </c>
      <c r="D9" s="510" t="s">
        <v>194</v>
      </c>
      <c r="E9" s="298">
        <f t="shared" si="0"/>
        <v>2030</v>
      </c>
      <c r="F9" s="248">
        <f>INDEX('M2 Beds'!$B$29:$N$29, MATCH(E9, 'M2 Beds'!$B$26:$N$26, 0))</f>
        <v>14780</v>
      </c>
      <c r="N9" s="37">
        <v>6</v>
      </c>
      <c r="T9" s="186"/>
    </row>
    <row r="10" spans="1:20" x14ac:dyDescent="0.25">
      <c r="A10" s="244" t="s">
        <v>195</v>
      </c>
      <c r="B10" s="256">
        <v>0</v>
      </c>
      <c r="C10" s="205" t="s">
        <v>196</v>
      </c>
      <c r="D10" s="511"/>
      <c r="E10" s="298">
        <f t="shared" si="0"/>
        <v>2031</v>
      </c>
      <c r="F10" s="248">
        <f>INDEX('M2 Beds'!$B$29:$N$29, MATCH(E10, 'M2 Beds'!$B$26:$N$26, 0))</f>
        <v>15302</v>
      </c>
      <c r="G10" s="186"/>
      <c r="N10" s="37">
        <v>6.5</v>
      </c>
      <c r="T10" s="186"/>
    </row>
    <row r="11" spans="1:20" x14ac:dyDescent="0.25">
      <c r="A11" s="244" t="s">
        <v>197</v>
      </c>
      <c r="B11" s="245">
        <v>0</v>
      </c>
      <c r="C11" s="205" t="s">
        <v>198</v>
      </c>
      <c r="D11" s="511"/>
      <c r="E11" s="298">
        <f t="shared" si="0"/>
        <v>2032</v>
      </c>
      <c r="F11" s="248">
        <f>INDEX('M2 Beds'!$B$29:$N$29, MATCH(E11, 'M2 Beds'!$B$26:$N$26, 0))</f>
        <v>15843</v>
      </c>
      <c r="I11" s="84"/>
      <c r="N11" s="37">
        <v>7</v>
      </c>
    </row>
    <row r="12" spans="1:20" x14ac:dyDescent="0.25">
      <c r="A12" s="244" t="s">
        <v>199</v>
      </c>
      <c r="B12" s="257">
        <v>-6.0000000000000001E-3</v>
      </c>
      <c r="C12" s="205" t="s">
        <v>200</v>
      </c>
      <c r="D12" s="511"/>
      <c r="E12" s="298">
        <f t="shared" si="0"/>
        <v>2033</v>
      </c>
      <c r="F12" s="248">
        <f>INDEX('M2 Beds'!$B$29:$N$29, MATCH(E12, 'M2 Beds'!$B$26:$N$26, 0))</f>
        <v>16403</v>
      </c>
      <c r="H12" s="84"/>
      <c r="N12" s="37">
        <v>8</v>
      </c>
    </row>
    <row r="13" spans="1:20" x14ac:dyDescent="0.25">
      <c r="A13" s="258"/>
      <c r="B13" s="258"/>
      <c r="C13" s="258"/>
      <c r="E13" s="249">
        <f t="shared" si="0"/>
        <v>2034</v>
      </c>
      <c r="F13" s="248">
        <f>INDEX('M2 Beds'!$B$29:$N$29, MATCH(E13, 'M2 Beds'!$B$26:$N$26, 0))</f>
        <v>16983</v>
      </c>
      <c r="H13" s="97"/>
      <c r="N13" s="239" t="s">
        <v>201</v>
      </c>
    </row>
    <row r="14" spans="1:20" x14ac:dyDescent="0.25">
      <c r="A14" s="258"/>
      <c r="B14" s="258"/>
      <c r="C14" s="258"/>
      <c r="E14" s="249">
        <f t="shared" si="0"/>
        <v>2035</v>
      </c>
      <c r="F14" s="248">
        <f>INDEX('M2 Beds'!$B$29:$N$29, MATCH(E14, 'M2 Beds'!$B$26:$N$26, 0))</f>
        <v>17583</v>
      </c>
      <c r="H14" s="88"/>
      <c r="N14" s="259">
        <v>-0.01</v>
      </c>
    </row>
    <row r="15" spans="1:20" x14ac:dyDescent="0.25">
      <c r="A15" s="258"/>
      <c r="B15" s="258"/>
      <c r="C15" s="258"/>
      <c r="E15" s="186"/>
      <c r="F15" s="258"/>
      <c r="H15" s="88"/>
      <c r="N15" s="259">
        <v>0</v>
      </c>
    </row>
    <row r="16" spans="1:20" x14ac:dyDescent="0.25">
      <c r="A16" s="338" t="s">
        <v>202</v>
      </c>
      <c r="B16" s="344" t="s">
        <v>203</v>
      </c>
      <c r="C16" s="343" t="s">
        <v>204</v>
      </c>
      <c r="D16" s="339" t="s">
        <v>205</v>
      </c>
      <c r="E16" s="186"/>
      <c r="F16" s="258"/>
      <c r="N16" s="259">
        <v>5.0000000000000001E-3</v>
      </c>
    </row>
    <row r="17" spans="1:14" x14ac:dyDescent="0.25">
      <c r="A17" s="178" t="s">
        <v>206</v>
      </c>
      <c r="B17" s="244">
        <f>$B$8*D17</f>
        <v>4.1999999999999993</v>
      </c>
      <c r="C17" s="260" t="s">
        <v>207</v>
      </c>
      <c r="D17" s="246">
        <v>0.7</v>
      </c>
      <c r="E17" s="186"/>
      <c r="F17" s="258"/>
      <c r="N17" s="259">
        <v>0.01</v>
      </c>
    </row>
    <row r="18" spans="1:14" x14ac:dyDescent="0.25">
      <c r="A18" s="178" t="s">
        <v>208</v>
      </c>
      <c r="B18" s="244">
        <f>$B$8*D18</f>
        <v>5.4</v>
      </c>
      <c r="C18" s="260" t="s">
        <v>209</v>
      </c>
      <c r="D18" s="246">
        <v>0.9</v>
      </c>
      <c r="E18" s="186"/>
      <c r="F18" s="258"/>
      <c r="N18" s="259">
        <v>1.4999999999999999E-2</v>
      </c>
    </row>
    <row r="19" spans="1:14" x14ac:dyDescent="0.25">
      <c r="A19" s="178" t="s">
        <v>210</v>
      </c>
      <c r="B19" s="244">
        <f>$B$8*D19</f>
        <v>7.8000000000000007</v>
      </c>
      <c r="C19" s="260" t="s">
        <v>211</v>
      </c>
      <c r="D19" s="246">
        <v>1.3</v>
      </c>
      <c r="E19" s="186"/>
      <c r="F19" s="258"/>
      <c r="N19" s="239" t="s">
        <v>195</v>
      </c>
    </row>
    <row r="20" spans="1:14" x14ac:dyDescent="0.25">
      <c r="A20" s="78"/>
      <c r="C20" s="261"/>
      <c r="F20" s="258"/>
      <c r="N20" s="88">
        <v>-0.08</v>
      </c>
    </row>
    <row r="21" spans="1:14" x14ac:dyDescent="0.25">
      <c r="A21" s="78" t="s">
        <v>212</v>
      </c>
      <c r="C21" s="261"/>
      <c r="E21" s="186"/>
      <c r="F21" s="258"/>
      <c r="N21" s="88">
        <v>0</v>
      </c>
    </row>
    <row r="22" spans="1:14" x14ac:dyDescent="0.25">
      <c r="A22" s="262" t="s">
        <v>213</v>
      </c>
      <c r="B22" s="263" t="s">
        <v>214</v>
      </c>
      <c r="C22" s="263" t="s">
        <v>215</v>
      </c>
      <c r="D22" s="263" t="s">
        <v>216</v>
      </c>
      <c r="E22" s="188" t="s">
        <v>217</v>
      </c>
      <c r="F22" s="189" t="s">
        <v>218</v>
      </c>
      <c r="N22" s="88">
        <v>0.08</v>
      </c>
    </row>
    <row r="23" spans="1:14" x14ac:dyDescent="0.25">
      <c r="A23" s="264">
        <f ca="1">G27</f>
        <v>0.89578270202431065</v>
      </c>
      <c r="B23" s="265">
        <f ca="1">G32</f>
        <v>0.8329193079203151</v>
      </c>
      <c r="C23" s="266">
        <f ca="1">G37</f>
        <v>0.7421392237335096</v>
      </c>
      <c r="D23" s="266">
        <f ca="1">AVERAGE(G27:G37)</f>
        <v>0.8274048853729048</v>
      </c>
      <c r="E23" s="267">
        <f ca="1">_xlfn.MINIFS(A27:A37, G27:G37, "&gt;="&amp;$B$5)</f>
        <v>2025</v>
      </c>
      <c r="F23" s="268">
        <f ca="1">_xlfn.MINIFS(A27:A37, G27:G37, "&gt;="&amp;$B$6)</f>
        <v>2025</v>
      </c>
      <c r="N23" s="88">
        <v>0.16</v>
      </c>
    </row>
    <row r="24" spans="1:14" x14ac:dyDescent="0.25">
      <c r="I24" s="507" t="s">
        <v>219</v>
      </c>
      <c r="J24" s="508"/>
      <c r="K24" s="508"/>
      <c r="L24" s="509"/>
      <c r="M24" s="84" t="s">
        <v>220</v>
      </c>
      <c r="N24" s="88">
        <v>0.25</v>
      </c>
    </row>
    <row r="25" spans="1:14" x14ac:dyDescent="0.25">
      <c r="A25" s="84" t="s">
        <v>221</v>
      </c>
      <c r="I25" s="269">
        <v>0.02</v>
      </c>
      <c r="J25" s="270">
        <v>2.3E-2</v>
      </c>
      <c r="K25" s="270">
        <v>0.03</v>
      </c>
      <c r="L25" s="271">
        <v>3.5299999999999998E-2</v>
      </c>
      <c r="M25" s="37" t="s">
        <v>193</v>
      </c>
      <c r="N25" s="239" t="s">
        <v>222</v>
      </c>
    </row>
    <row r="26" spans="1:14" x14ac:dyDescent="0.25">
      <c r="A26" s="340" t="s">
        <v>182</v>
      </c>
      <c r="B26" s="341" t="s">
        <v>223</v>
      </c>
      <c r="C26" s="341" t="s">
        <v>224</v>
      </c>
      <c r="D26" s="341" t="s">
        <v>225</v>
      </c>
      <c r="E26" s="340" t="s">
        <v>226</v>
      </c>
      <c r="F26" s="341" t="s">
        <v>227</v>
      </c>
      <c r="G26" s="341" t="s">
        <v>228</v>
      </c>
      <c r="I26" s="507" t="s">
        <v>229</v>
      </c>
      <c r="J26" s="508"/>
      <c r="K26" s="508"/>
      <c r="L26" s="509"/>
      <c r="M26" s="37" t="s">
        <v>199</v>
      </c>
      <c r="N26" s="447">
        <v>-6.0000000000000001E-3</v>
      </c>
    </row>
    <row r="27" spans="1:14" x14ac:dyDescent="0.25">
      <c r="A27" s="249">
        <v>2025</v>
      </c>
      <c r="B27" s="250">
        <f ca="1">IF(A27=2025,$B$7,OFFSET(C27,-1,0))</f>
        <v>12000</v>
      </c>
      <c r="C27" s="250">
        <f>VLOOKUP(A27,$E$4:$F$14,2)</f>
        <v>12424</v>
      </c>
      <c r="D27" s="250">
        <f ca="1">AVERAGE(B27,C27)</f>
        <v>12212</v>
      </c>
      <c r="E27" s="250">
        <f>VLOOKUP(A27,$A$42:$L$52,12)</f>
        <v>3793201.7053316659</v>
      </c>
      <c r="F27" s="250">
        <f ca="1">D27*365*$B$4</f>
        <v>4234511</v>
      </c>
      <c r="G27" s="272">
        <f ca="1">E27/F27</f>
        <v>0.89578270202431065</v>
      </c>
      <c r="I27" s="273">
        <v>0.90258237269974273</v>
      </c>
      <c r="J27" s="274">
        <v>0.9012438916725064</v>
      </c>
      <c r="K27" s="274">
        <v>0.89813615411501502</v>
      </c>
      <c r="L27" s="225">
        <v>0.89578270202431065</v>
      </c>
      <c r="N27" s="447">
        <v>0</v>
      </c>
    </row>
    <row r="28" spans="1:14" x14ac:dyDescent="0.25">
      <c r="A28" s="249">
        <f>A27+1</f>
        <v>2026</v>
      </c>
      <c r="B28" s="250">
        <f t="shared" ref="B28:B37" ca="1" si="1">IF(A28=2025,$B$7,OFFSET(C28,-1,0))</f>
        <v>12424</v>
      </c>
      <c r="C28" s="250">
        <f t="shared" ref="C28:C37" si="2">VLOOKUP(A28,$E$4:$F$14,2)</f>
        <v>12863</v>
      </c>
      <c r="D28" s="250">
        <f t="shared" ref="D28:D37" ca="1" si="3">AVERAGE(B28,C28)</f>
        <v>12643.5</v>
      </c>
      <c r="E28" s="250">
        <f t="shared" ref="E28:E37" si="4">VLOOKUP(A28,$A$42:$L$52,12)</f>
        <v>3887356.8409860027</v>
      </c>
      <c r="F28" s="250">
        <f t="shared" ref="F28:F37" ca="1" si="5">D28*365*$B$4</f>
        <v>4384133.625</v>
      </c>
      <c r="G28" s="272">
        <f t="shared" ref="G28:G37" ca="1" si="6">E28/F28</f>
        <v>0.88668758151412475</v>
      </c>
      <c r="I28" s="275">
        <v>0.9068420171384296</v>
      </c>
      <c r="J28" s="235">
        <v>0.90282540260711386</v>
      </c>
      <c r="K28" s="235">
        <v>0.89361399998994351</v>
      </c>
      <c r="L28" s="228">
        <v>0.88668758151412475</v>
      </c>
      <c r="N28" s="37" t="s">
        <v>230</v>
      </c>
    </row>
    <row r="29" spans="1:14" x14ac:dyDescent="0.25">
      <c r="A29" s="249">
        <f t="shared" ref="A29:A37" si="7">A28+1</f>
        <v>2027</v>
      </c>
      <c r="B29" s="250">
        <f t="shared" ca="1" si="1"/>
        <v>12863</v>
      </c>
      <c r="C29" s="250">
        <f t="shared" si="2"/>
        <v>13318</v>
      </c>
      <c r="D29" s="250">
        <f t="shared" ca="1" si="3"/>
        <v>13090.5</v>
      </c>
      <c r="E29" s="250">
        <f t="shared" si="4"/>
        <v>3974229.0888184737</v>
      </c>
      <c r="F29" s="250">
        <f t="shared" ca="1" si="5"/>
        <v>4539130.875</v>
      </c>
      <c r="G29" s="272">
        <f t="shared" ca="1" si="6"/>
        <v>0.87554846913694107</v>
      </c>
      <c r="I29" s="275">
        <v>0.90891096235028757</v>
      </c>
      <c r="J29" s="235">
        <v>0.90222121739970296</v>
      </c>
      <c r="K29" s="235">
        <v>0.88696542603599493</v>
      </c>
      <c r="L29" s="228">
        <v>0.87554846913694107</v>
      </c>
    </row>
    <row r="30" spans="1:14" x14ac:dyDescent="0.25">
      <c r="A30" s="249">
        <f t="shared" si="7"/>
        <v>2028</v>
      </c>
      <c r="B30" s="250">
        <f t="shared" ca="1" si="1"/>
        <v>13318</v>
      </c>
      <c r="C30" s="250">
        <f t="shared" si="2"/>
        <v>13789</v>
      </c>
      <c r="D30" s="250">
        <f t="shared" ca="1" si="3"/>
        <v>13553.5</v>
      </c>
      <c r="E30" s="250">
        <f t="shared" si="4"/>
        <v>4054403.993571402</v>
      </c>
      <c r="F30" s="250">
        <f t="shared" ca="1" si="5"/>
        <v>4699676.125</v>
      </c>
      <c r="G30" s="272">
        <f t="shared" ca="1" si="6"/>
        <v>0.86269859576151153</v>
      </c>
      <c r="I30" s="275">
        <v>0.90904454170290738</v>
      </c>
      <c r="J30" s="235">
        <v>0.89970648027498057</v>
      </c>
      <c r="K30" s="235">
        <v>0.87848124850891407</v>
      </c>
      <c r="L30" s="228">
        <v>0.86269859576151153</v>
      </c>
    </row>
    <row r="31" spans="1:14" x14ac:dyDescent="0.25">
      <c r="A31" s="249">
        <f t="shared" si="7"/>
        <v>2029</v>
      </c>
      <c r="B31" s="250">
        <f t="shared" ca="1" si="1"/>
        <v>13789</v>
      </c>
      <c r="C31" s="250">
        <f t="shared" si="2"/>
        <v>14276</v>
      </c>
      <c r="D31" s="250">
        <f t="shared" ca="1" si="3"/>
        <v>14032.5</v>
      </c>
      <c r="E31" s="250">
        <f t="shared" si="4"/>
        <v>4128223.4245898258</v>
      </c>
      <c r="F31" s="250">
        <f t="shared" ca="1" si="5"/>
        <v>4865769.375</v>
      </c>
      <c r="G31" s="272">
        <f t="shared" ca="1" si="6"/>
        <v>0.84842151496130569</v>
      </c>
      <c r="I31" s="275">
        <v>0.9074294899919606</v>
      </c>
      <c r="J31" s="235">
        <v>0.89545146167459089</v>
      </c>
      <c r="K31" s="235">
        <v>0.86837891383621613</v>
      </c>
      <c r="L31" s="228">
        <v>0.84842151496130569</v>
      </c>
    </row>
    <row r="32" spans="1:14" x14ac:dyDescent="0.25">
      <c r="A32" s="249">
        <f t="shared" si="7"/>
        <v>2030</v>
      </c>
      <c r="B32" s="250">
        <f t="shared" ca="1" si="1"/>
        <v>14276</v>
      </c>
      <c r="C32" s="250">
        <f t="shared" si="2"/>
        <v>14780</v>
      </c>
      <c r="D32" s="250">
        <f t="shared" ca="1" si="3"/>
        <v>14528</v>
      </c>
      <c r="E32" s="250">
        <f t="shared" si="4"/>
        <v>4195900.9788704524</v>
      </c>
      <c r="F32" s="250">
        <f t="shared" ca="1" si="5"/>
        <v>5037584</v>
      </c>
      <c r="G32" s="272">
        <f t="shared" ca="1" si="6"/>
        <v>0.8329193079203151</v>
      </c>
      <c r="I32" s="275">
        <v>0.90421458662180731</v>
      </c>
      <c r="J32" s="235">
        <v>0.88962297496444176</v>
      </c>
      <c r="K32" s="235">
        <v>0.85686529567103364</v>
      </c>
      <c r="L32" s="228">
        <v>0.8329193079203151</v>
      </c>
    </row>
    <row r="33" spans="1:25" x14ac:dyDescent="0.25">
      <c r="A33" s="249">
        <f t="shared" si="7"/>
        <v>2031</v>
      </c>
      <c r="B33" s="250">
        <f t="shared" ca="1" si="1"/>
        <v>14780</v>
      </c>
      <c r="C33" s="250">
        <f t="shared" si="2"/>
        <v>15302</v>
      </c>
      <c r="D33" s="250">
        <f t="shared" ca="1" si="3"/>
        <v>15041</v>
      </c>
      <c r="E33" s="250">
        <f t="shared" si="4"/>
        <v>4257593.4319120822</v>
      </c>
      <c r="F33" s="250">
        <f t="shared" ca="1" si="5"/>
        <v>5215466.75</v>
      </c>
      <c r="G33" s="272">
        <f t="shared" ca="1" si="6"/>
        <v>0.81633986678413439</v>
      </c>
      <c r="I33" s="275">
        <v>0.89949583797664301</v>
      </c>
      <c r="J33" s="235">
        <v>0.88236627762568109</v>
      </c>
      <c r="K33" s="235">
        <v>0.84411989112471919</v>
      </c>
      <c r="L33" s="228">
        <v>0.81633986678413439</v>
      </c>
    </row>
    <row r="34" spans="1:25" x14ac:dyDescent="0.25">
      <c r="A34" s="249">
        <f t="shared" si="7"/>
        <v>2032</v>
      </c>
      <c r="B34" s="250">
        <f t="shared" ca="1" si="1"/>
        <v>15302</v>
      </c>
      <c r="C34" s="250">
        <f t="shared" si="2"/>
        <v>15843</v>
      </c>
      <c r="D34" s="250">
        <f t="shared" ca="1" si="3"/>
        <v>15572.5</v>
      </c>
      <c r="E34" s="250">
        <f t="shared" si="4"/>
        <v>4313443.2751853168</v>
      </c>
      <c r="F34" s="250">
        <f t="shared" ca="1" si="5"/>
        <v>5399764.375</v>
      </c>
      <c r="G34" s="272">
        <f t="shared" ca="1" si="6"/>
        <v>0.79882064764822569</v>
      </c>
      <c r="I34" s="275">
        <v>0.89339518353217429</v>
      </c>
      <c r="J34" s="235">
        <v>0.87381529471073305</v>
      </c>
      <c r="K34" s="235">
        <v>0.83027762626410784</v>
      </c>
      <c r="L34" s="228">
        <v>0.79882064764822569</v>
      </c>
    </row>
    <row r="35" spans="1:25" x14ac:dyDescent="0.25">
      <c r="A35" s="249">
        <f t="shared" si="7"/>
        <v>2033</v>
      </c>
      <c r="B35" s="250">
        <f t="shared" ca="1" si="1"/>
        <v>15843</v>
      </c>
      <c r="C35" s="250">
        <f t="shared" si="2"/>
        <v>16403</v>
      </c>
      <c r="D35" s="250">
        <f t="shared" ca="1" si="3"/>
        <v>16123</v>
      </c>
      <c r="E35" s="250">
        <f t="shared" si="4"/>
        <v>4363601.9699743222</v>
      </c>
      <c r="F35" s="250">
        <f t="shared" ca="1" si="5"/>
        <v>5590650.25</v>
      </c>
      <c r="G35" s="272">
        <f t="shared" ca="1" si="6"/>
        <v>0.78051778860148191</v>
      </c>
      <c r="I35" s="275">
        <v>0.88603029681206036</v>
      </c>
      <c r="J35" s="235">
        <v>0.86406813414046235</v>
      </c>
      <c r="K35" s="235">
        <v>0.81544068074658638</v>
      </c>
      <c r="L35" s="228">
        <v>0.78051778860148191</v>
      </c>
    </row>
    <row r="36" spans="1:25" x14ac:dyDescent="0.25">
      <c r="A36" s="249">
        <f t="shared" si="7"/>
        <v>2034</v>
      </c>
      <c r="B36" s="250">
        <f t="shared" ca="1" si="1"/>
        <v>16403</v>
      </c>
      <c r="C36" s="250">
        <f t="shared" si="2"/>
        <v>16983</v>
      </c>
      <c r="D36" s="250">
        <f t="shared" ca="1" si="3"/>
        <v>16693</v>
      </c>
      <c r="E36" s="250">
        <f t="shared" si="4"/>
        <v>4408240.4612628492</v>
      </c>
      <c r="F36" s="250">
        <f t="shared" ca="1" si="5"/>
        <v>5788297.75</v>
      </c>
      <c r="G36" s="272">
        <f t="shared" ca="1" si="6"/>
        <v>0.76157804101609128</v>
      </c>
      <c r="I36" s="275">
        <v>0.87751663424894655</v>
      </c>
      <c r="J36" s="235">
        <v>0.85325160164311642</v>
      </c>
      <c r="K36" s="235">
        <v>0.7997623451611483</v>
      </c>
      <c r="L36" s="228">
        <v>0.76157804101609128</v>
      </c>
    </row>
    <row r="37" spans="1:25" x14ac:dyDescent="0.25">
      <c r="A37" s="249">
        <f t="shared" si="7"/>
        <v>2035</v>
      </c>
      <c r="B37" s="250">
        <f t="shared" ca="1" si="1"/>
        <v>16983</v>
      </c>
      <c r="C37" s="250">
        <f t="shared" si="2"/>
        <v>17583</v>
      </c>
      <c r="D37" s="250">
        <f t="shared" ca="1" si="3"/>
        <v>17283</v>
      </c>
      <c r="E37" s="250">
        <f t="shared" si="4"/>
        <v>4447551.4966628812</v>
      </c>
      <c r="F37" s="250">
        <f t="shared" ca="1" si="5"/>
        <v>5992880.25</v>
      </c>
      <c r="G37" s="272">
        <f t="shared" ca="1" si="6"/>
        <v>0.7421392237335096</v>
      </c>
      <c r="I37" s="276">
        <v>0.86796766731762798</v>
      </c>
      <c r="J37" s="236">
        <v>0.84148874553296682</v>
      </c>
      <c r="K37" s="236">
        <v>0.78338680778026304</v>
      </c>
      <c r="L37" s="237">
        <v>0.7421392237335096</v>
      </c>
    </row>
    <row r="39" spans="1:25" x14ac:dyDescent="0.25">
      <c r="A39" s="84" t="s">
        <v>231</v>
      </c>
    </row>
    <row r="40" spans="1:25" x14ac:dyDescent="0.25">
      <c r="A40" s="502" t="s">
        <v>182</v>
      </c>
      <c r="B40" s="504" t="s">
        <v>232</v>
      </c>
      <c r="C40" s="504"/>
      <c r="D40" s="504"/>
      <c r="E40" s="504" t="s">
        <v>208</v>
      </c>
      <c r="F40" s="504"/>
      <c r="G40" s="504"/>
      <c r="H40" s="504" t="s">
        <v>210</v>
      </c>
      <c r="I40" s="504"/>
      <c r="J40" s="504"/>
      <c r="K40" s="505" t="s">
        <v>233</v>
      </c>
      <c r="L40" s="497" t="s">
        <v>234</v>
      </c>
    </row>
    <row r="41" spans="1:25" x14ac:dyDescent="0.25">
      <c r="A41" s="503"/>
      <c r="B41" s="341" t="s">
        <v>235</v>
      </c>
      <c r="C41" s="341" t="s">
        <v>236</v>
      </c>
      <c r="D41" s="341" t="s">
        <v>237</v>
      </c>
      <c r="E41" s="341" t="s">
        <v>235</v>
      </c>
      <c r="F41" s="341" t="s">
        <v>236</v>
      </c>
      <c r="G41" s="341" t="s">
        <v>237</v>
      </c>
      <c r="H41" s="341" t="s">
        <v>235</v>
      </c>
      <c r="I41" s="341" t="s">
        <v>236</v>
      </c>
      <c r="J41" s="341" t="s">
        <v>237</v>
      </c>
      <c r="K41" s="506"/>
      <c r="L41" s="498"/>
      <c r="N41" s="37" t="s">
        <v>238</v>
      </c>
    </row>
    <row r="42" spans="1:25" x14ac:dyDescent="0.25">
      <c r="A42" s="249">
        <v>2025</v>
      </c>
      <c r="B42" s="250">
        <f>SUM(INDEX('M1 Demand Driver'!$B$4:$L$7, , MATCH($A42, 'M1 Demand Driver'!$B$3:$L$3, 0)))</f>
        <v>571940</v>
      </c>
      <c r="C42" s="250">
        <f>B42*INDEX('M2 HAR'!$B$45:$AE$45, MATCH($A42, 'M2 HAR'!$B$31:$AE$31, 0))</f>
        <v>79673.750508771729</v>
      </c>
      <c r="D42" s="250">
        <f>C42*$B$17*(1+$B$10)</f>
        <v>334629.75213684118</v>
      </c>
      <c r="E42" s="250">
        <f>SUM(INDEX('M1 Demand Driver'!$B$8:$L$17, , MATCH($A42, 'M1 Demand Driver'!$B$3:$L$3, 0)))</f>
        <v>2842999</v>
      </c>
      <c r="F42" s="250">
        <f>E42*INDEX('M2 HAR'!$B$46:$AE$46, MATCH($A42, 'M2 HAR'!$B$31:$AE$31, 0))</f>
        <v>256255.51861407937</v>
      </c>
      <c r="G42" s="250">
        <f>F42*$B$18*(1+$B$10)</f>
        <v>1383779.8005160287</v>
      </c>
      <c r="H42" s="250">
        <f>SUM(INDEX('M1 Demand Driver'!$B$18:$L$23, , MATCH($A42, 'M1 Demand Driver'!$B$3:$L$3, 0)))*(1+$B$11)</f>
        <v>789576</v>
      </c>
      <c r="I42" s="250">
        <f>H42*INDEX('M2 HAR'!$B$47:$AE$47, MATCH($A42, 'M2 HAR'!$B$31:$AE$31, 0))</f>
        <v>265998.99393317895</v>
      </c>
      <c r="J42" s="277">
        <f>I42*$B$19*(1+$B$10)</f>
        <v>2074792.1526787961</v>
      </c>
      <c r="K42" s="278">
        <f>SUM(C42,F42,I42)</f>
        <v>601928.26305603003</v>
      </c>
      <c r="L42" s="278">
        <f>SUM(D42,G42,J42)</f>
        <v>3793201.7053316659</v>
      </c>
      <c r="N42" s="99" t="s">
        <v>239</v>
      </c>
    </row>
    <row r="43" spans="1:25" x14ac:dyDescent="0.25">
      <c r="A43" s="249">
        <f>A42+1</f>
        <v>2026</v>
      </c>
      <c r="B43" s="250">
        <f>SUM(INDEX('M1 Demand Driver'!$B$4:$L$7, , MATCH($A43, 'M1 Demand Driver'!$B$3:$L$3, 0)))</f>
        <v>557863.1389272107</v>
      </c>
      <c r="C43" s="250">
        <f>B43*INDEX('M2 HAR'!$B$45:$AE$45, MATCH($A43, 'M2 HAR'!$B$31:$AE$31, 0))</f>
        <v>79109.739830095539</v>
      </c>
      <c r="D43" s="277">
        <f>C43*$B$17*(1+$B$10)</f>
        <v>332260.9072864012</v>
      </c>
      <c r="E43" s="250">
        <f>SUM(INDEX('M1 Demand Driver'!$B$8:$L$17, , MATCH($A43, 'M1 Demand Driver'!$B$3:$L$3, 0)))</f>
        <v>2820722.705972</v>
      </c>
      <c r="F43" s="250">
        <f>E43*INDEX('M2 HAR'!$B$46:$AE$46, MATCH($A43, 'M2 HAR'!$B$31:$AE$31, 0))</f>
        <v>257432.86832753778</v>
      </c>
      <c r="G43" s="277">
        <f t="shared" ref="G43:G52" si="8">F43*$B$18*(1+$B$10)</f>
        <v>1390137.4889687041</v>
      </c>
      <c r="H43" s="250">
        <f>SUM(INDEX('M1 Demand Driver'!$B$18:$L$23, , MATCH($A43, 'M1 Demand Driver'!$B$3:$L$3, 0)))*(1+$B$11)</f>
        <v>825848.54184000008</v>
      </c>
      <c r="I43" s="250">
        <f>H43*INDEX('M2 HAR'!$B$47:$AE$47, MATCH($A43, 'M2 HAR'!$B$31:$AE$31, 0))</f>
        <v>277558.77496549964</v>
      </c>
      <c r="J43" s="277">
        <f t="shared" ref="J43:J52" si="9">I43*$B$19*(1+$B$10)</f>
        <v>2164958.4447308974</v>
      </c>
      <c r="K43" s="278">
        <f t="shared" ref="K43:L52" si="10">SUM(C43,F43,I43)</f>
        <v>614101.38312313298</v>
      </c>
      <c r="L43" s="278">
        <f t="shared" si="10"/>
        <v>3887356.8409860027</v>
      </c>
      <c r="N43" s="37" t="s">
        <v>240</v>
      </c>
    </row>
    <row r="44" spans="1:25" x14ac:dyDescent="0.25">
      <c r="A44" s="249">
        <f t="shared" ref="A44:A52" si="11">A43+1</f>
        <v>2027</v>
      </c>
      <c r="B44" s="250">
        <f>SUM(INDEX('M1 Demand Driver'!$B$4:$L$7, , MATCH($A44, 'M1 Demand Driver'!$B$3:$L$3, 0)))</f>
        <v>543392.384157161</v>
      </c>
      <c r="C44" s="250">
        <f>B44*INDEX('M2 HAR'!$B$45:$AE$45, MATCH($A44, 'M2 HAR'!$B$31:$AE$31, 0))</f>
        <v>78418.384937678158</v>
      </c>
      <c r="D44" s="277">
        <f t="shared" ref="D44:D52" si="12">C44*$B$17*(1+$B$10)</f>
        <v>329357.21673824819</v>
      </c>
      <c r="E44" s="250">
        <f>SUM(INDEX('M1 Demand Driver'!$B$8:$L$17, , MATCH($A44, 'M1 Demand Driver'!$B$3:$L$3, 0)))</f>
        <v>2798783.953497306</v>
      </c>
      <c r="F44" s="250">
        <f>E44*INDEX('M2 HAR'!$B$46:$AE$46, MATCH($A44, 'M2 HAR'!$B$31:$AE$31, 0))</f>
        <v>258586.79391585142</v>
      </c>
      <c r="G44" s="277">
        <f t="shared" si="8"/>
        <v>1396368.6871455978</v>
      </c>
      <c r="H44" s="250">
        <f>SUM(INDEX('M1 Demand Driver'!$B$18:$L$23, , MATCH($A44, 'M1 Demand Driver'!$B$3:$L$3, 0)))*(1+$B$11)</f>
        <v>859768.62106667249</v>
      </c>
      <c r="I44" s="250">
        <f>H44*INDEX('M2 HAR'!$B$47:$AE$47, MATCH($A44, 'M2 HAR'!$B$31:$AE$31, 0))</f>
        <v>288269.63909418299</v>
      </c>
      <c r="J44" s="277">
        <f t="shared" si="9"/>
        <v>2248503.1849346277</v>
      </c>
      <c r="K44" s="278">
        <f t="shared" si="10"/>
        <v>625274.81794771249</v>
      </c>
      <c r="L44" s="278">
        <f t="shared" si="10"/>
        <v>3974229.0888184737</v>
      </c>
      <c r="N44" s="37" t="s">
        <v>241</v>
      </c>
    </row>
    <row r="45" spans="1:25" x14ac:dyDescent="0.25">
      <c r="A45" s="249">
        <f t="shared" si="11"/>
        <v>2028</v>
      </c>
      <c r="B45" s="250">
        <f>SUM(INDEX('M1 Demand Driver'!$B$4:$L$7, , MATCH($A45, 'M1 Demand Driver'!$B$3:$L$3, 0)))</f>
        <v>529009.73151330382</v>
      </c>
      <c r="C45" s="250">
        <f>B45*INDEX('M2 HAR'!$B$45:$AE$45, MATCH($A45, 'M2 HAR'!$B$31:$AE$31, 0))</f>
        <v>77667.491819373739</v>
      </c>
      <c r="D45" s="277">
        <f t="shared" si="12"/>
        <v>326203.46564136964</v>
      </c>
      <c r="E45" s="250">
        <f>SUM(INDEX('M1 Demand Driver'!$B$8:$L$17, , MATCH($A45, 'M1 Demand Driver'!$B$3:$L$3, 0)))</f>
        <v>2776487.4703978235</v>
      </c>
      <c r="F45" s="250">
        <f>E45*INDEX('M2 HAR'!$B$46:$AE$46, MATCH($A45, 'M2 HAR'!$B$31:$AE$31, 0))</f>
        <v>259652.38005070109</v>
      </c>
      <c r="G45" s="277">
        <f t="shared" si="8"/>
        <v>1402122.852273786</v>
      </c>
      <c r="H45" s="250">
        <f>SUM(INDEX('M1 Demand Driver'!$B$18:$L$23, , MATCH($A45, 'M1 Demand Driver'!$B$3:$L$3, 0)))*(1+$B$11)</f>
        <v>891569.57544986834</v>
      </c>
      <c r="I45" s="250">
        <f>H45*INDEX('M2 HAR'!$B$47:$AE$47, MATCH($A45, 'M2 HAR'!$B$31:$AE$31, 0))</f>
        <v>298215.08662259567</v>
      </c>
      <c r="J45" s="277">
        <f t="shared" si="9"/>
        <v>2326077.6756562465</v>
      </c>
      <c r="K45" s="278">
        <f t="shared" si="10"/>
        <v>635534.95849267044</v>
      </c>
      <c r="L45" s="278">
        <f t="shared" si="10"/>
        <v>4054403.993571402</v>
      </c>
    </row>
    <row r="46" spans="1:25" x14ac:dyDescent="0.25">
      <c r="A46" s="249">
        <f t="shared" si="11"/>
        <v>2029</v>
      </c>
      <c r="B46" s="250">
        <f>SUM(INDEX('M1 Demand Driver'!$B$4:$L$7, , MATCH($A46, 'M1 Demand Driver'!$B$3:$L$3, 0)))</f>
        <v>514988.21993913979</v>
      </c>
      <c r="C46" s="250">
        <f>B46*INDEX('M2 HAR'!$B$45:$AE$45, MATCH($A46, 'M2 HAR'!$B$31:$AE$31, 0))</f>
        <v>76898.492745364769</v>
      </c>
      <c r="D46" s="277">
        <f t="shared" si="12"/>
        <v>322973.66953053197</v>
      </c>
      <c r="E46" s="250">
        <f>SUM(INDEX('M1 Demand Driver'!$B$8:$L$17, , MATCH($A46, 'M1 Demand Driver'!$B$3:$L$3, 0)))</f>
        <v>2753437.4248062763</v>
      </c>
      <c r="F46" s="250">
        <f>E46*INDEX('M2 HAR'!$B$46:$AE$46, MATCH($A46, 'M2 HAR'!$B$31:$AE$31, 0))</f>
        <v>260590.34345907706</v>
      </c>
      <c r="G46" s="277">
        <f t="shared" si="8"/>
        <v>1407187.8546790162</v>
      </c>
      <c r="H46" s="250">
        <f>SUM(INDEX('M1 Demand Driver'!$B$18:$L$23, , MATCH($A46, 'M1 Demand Driver'!$B$3:$L$3, 0)))*(1+$B$11)</f>
        <v>921382.62662249419</v>
      </c>
      <c r="I46" s="250">
        <f>H46*INDEX('M2 HAR'!$B$47:$AE$47, MATCH($A46, 'M2 HAR'!$B$31:$AE$31, 0))</f>
        <v>307443.83338208683</v>
      </c>
      <c r="J46" s="277">
        <f t="shared" si="9"/>
        <v>2398061.9003802775</v>
      </c>
      <c r="K46" s="278">
        <f t="shared" si="10"/>
        <v>644932.66958652867</v>
      </c>
      <c r="L46" s="278">
        <f t="shared" si="10"/>
        <v>4128223.4245898258</v>
      </c>
      <c r="N46" s="87" t="s">
        <v>242</v>
      </c>
      <c r="O46" s="87">
        <v>2025</v>
      </c>
      <c r="P46" s="87">
        <v>2026</v>
      </c>
      <c r="Q46" s="87">
        <v>2027</v>
      </c>
      <c r="R46" s="87">
        <v>2028</v>
      </c>
      <c r="S46" s="87">
        <v>2029</v>
      </c>
      <c r="T46" s="87">
        <v>2030</v>
      </c>
      <c r="U46" s="87">
        <v>2031</v>
      </c>
      <c r="V46" s="87">
        <v>2032</v>
      </c>
      <c r="W46" s="87">
        <v>2033</v>
      </c>
      <c r="X46" s="87">
        <v>2034</v>
      </c>
      <c r="Y46" s="87">
        <v>2035</v>
      </c>
    </row>
    <row r="47" spans="1:25" x14ac:dyDescent="0.25">
      <c r="A47" s="249">
        <f t="shared" si="11"/>
        <v>2030</v>
      </c>
      <c r="B47" s="250">
        <f>SUM(INDEX('M1 Demand Driver'!$B$4:$L$7, , MATCH($A47, 'M1 Demand Driver'!$B$3:$L$3, 0)))</f>
        <v>501475.20867279929</v>
      </c>
      <c r="C47" s="250">
        <f>B47*INDEX('M2 HAR'!$B$45:$AE$45, MATCH($A47, 'M2 HAR'!$B$31:$AE$31, 0))</f>
        <v>76136.47355674766</v>
      </c>
      <c r="D47" s="277">
        <f t="shared" si="12"/>
        <v>319773.18893834011</v>
      </c>
      <c r="E47" s="250">
        <f>SUM(INDEX('M1 Demand Driver'!$B$8:$L$17, , MATCH($A47, 'M1 Demand Driver'!$B$3:$L$3, 0)))</f>
        <v>2729419.4127606382</v>
      </c>
      <c r="F47" s="250">
        <f>E47*INDEX('M2 HAR'!$B$46:$AE$46, MATCH($A47, 'M2 HAR'!$B$31:$AE$31, 0))</f>
        <v>261377.22004514313</v>
      </c>
      <c r="G47" s="277">
        <f t="shared" si="8"/>
        <v>1411436.9882437729</v>
      </c>
      <c r="H47" s="250">
        <f>SUM(INDEX('M1 Demand Driver'!$B$18:$L$23, , MATCH($A47, 'M1 Demand Driver'!$B$3:$L$3, 0)))*(1+$B$11)</f>
        <v>949284.29655452422</v>
      </c>
      <c r="I47" s="250">
        <f>H47*INDEX('M2 HAR'!$B$47:$AE$47, MATCH($A47, 'M2 HAR'!$B$31:$AE$31, 0))</f>
        <v>315986.00021645369</v>
      </c>
      <c r="J47" s="277">
        <f t="shared" si="9"/>
        <v>2464690.8016883391</v>
      </c>
      <c r="K47" s="278">
        <f t="shared" si="10"/>
        <v>653499.6938183445</v>
      </c>
      <c r="L47" s="278">
        <f t="shared" si="10"/>
        <v>4195900.9788704524</v>
      </c>
      <c r="N47" s="37" t="s">
        <v>243</v>
      </c>
    </row>
    <row r="48" spans="1:25" x14ac:dyDescent="0.25">
      <c r="A48" s="249">
        <f t="shared" si="11"/>
        <v>2031</v>
      </c>
      <c r="B48" s="250">
        <f>SUM(INDEX('M1 Demand Driver'!$B$4:$L$7, , MATCH($A48, 'M1 Demand Driver'!$B$3:$L$3, 0)))</f>
        <v>488537.20865711442</v>
      </c>
      <c r="C48" s="250">
        <f>B48*INDEX('M2 HAR'!$B$45:$AE$45, MATCH($A48, 'M2 HAR'!$B$31:$AE$31, 0))</f>
        <v>75395.518870641346</v>
      </c>
      <c r="D48" s="277">
        <f t="shared" si="12"/>
        <v>316661.17925669358</v>
      </c>
      <c r="E48" s="250">
        <f>SUM(INDEX('M1 Demand Driver'!$B$8:$L$17, , MATCH($A48, 'M1 Demand Driver'!$B$3:$L$3, 0)))</f>
        <v>2704334.1733372039</v>
      </c>
      <c r="F48" s="250">
        <f>E48*INDEX('M2 HAR'!$B$46:$AE$46, MATCH($A48, 'M2 HAR'!$B$31:$AE$31, 0))</f>
        <v>261999.8479031522</v>
      </c>
      <c r="G48" s="277">
        <f t="shared" si="8"/>
        <v>1414799.178677022</v>
      </c>
      <c r="H48" s="250">
        <f>SUM(INDEX('M1 Demand Driver'!$B$18:$L$23, , MATCH($A48, 'M1 Demand Driver'!$B$3:$L$3, 0)))*(1+$B$11)</f>
        <v>975326.1738290377</v>
      </c>
      <c r="I48" s="250">
        <f>H48*INDEX('M2 HAR'!$B$47:$AE$47, MATCH($A48, 'M2 HAR'!$B$31:$AE$31, 0))</f>
        <v>323863.2146126111</v>
      </c>
      <c r="J48" s="277">
        <f t="shared" si="9"/>
        <v>2526133.0739783668</v>
      </c>
      <c r="K48" s="278">
        <f t="shared" si="10"/>
        <v>661258.58138640458</v>
      </c>
      <c r="L48" s="278">
        <f t="shared" si="10"/>
        <v>4257593.4319120822</v>
      </c>
    </row>
    <row r="49" spans="1:14" x14ac:dyDescent="0.25">
      <c r="A49" s="249">
        <f t="shared" si="11"/>
        <v>2032</v>
      </c>
      <c r="B49" s="250">
        <f>SUM(INDEX('M1 Demand Driver'!$B$4:$L$7, , MATCH($A49, 'M1 Demand Driver'!$B$3:$L$3, 0)))</f>
        <v>476190.57966135384</v>
      </c>
      <c r="C49" s="250">
        <f>B49*INDEX('M2 HAR'!$B$45:$AE$45, MATCH($A49, 'M2 HAR'!$B$31:$AE$31, 0))</f>
        <v>74682.514139118663</v>
      </c>
      <c r="D49" s="277">
        <f t="shared" si="12"/>
        <v>313666.55938429834</v>
      </c>
      <c r="E49" s="250">
        <f>SUM(INDEX('M1 Demand Driver'!$B$8:$L$17, , MATCH($A49, 'M1 Demand Driver'!$B$3:$L$3, 0)))</f>
        <v>2678152.9348840369</v>
      </c>
      <c r="F49" s="250">
        <f>E49*INDEX('M2 HAR'!$B$46:$AE$46, MATCH($A49, 'M2 HAR'!$B$31:$AE$31, 0))</f>
        <v>262451.5787071049</v>
      </c>
      <c r="G49" s="277">
        <f t="shared" si="8"/>
        <v>1417238.5250183665</v>
      </c>
      <c r="H49" s="250">
        <f>SUM(INDEX('M1 Demand Driver'!$B$18:$L$23, , MATCH($A49, 'M1 Demand Driver'!$B$3:$L$3, 0)))*(1+$B$11)</f>
        <v>999552.81791485124</v>
      </c>
      <c r="I49" s="250">
        <f>H49*INDEX('M2 HAR'!$B$47:$AE$47, MATCH($A49, 'M2 HAR'!$B$31:$AE$31, 0))</f>
        <v>331094.63984392968</v>
      </c>
      <c r="J49" s="277">
        <f t="shared" si="9"/>
        <v>2582538.1907826518</v>
      </c>
      <c r="K49" s="278">
        <f t="shared" si="10"/>
        <v>668228.73269015318</v>
      </c>
      <c r="L49" s="278">
        <f t="shared" si="10"/>
        <v>4313443.2751853168</v>
      </c>
    </row>
    <row r="50" spans="1:14" x14ac:dyDescent="0.25">
      <c r="A50" s="249">
        <f t="shared" si="11"/>
        <v>2033</v>
      </c>
      <c r="B50" s="250">
        <f>SUM(INDEX('M1 Demand Driver'!$B$4:$L$7, , MATCH($A50, 'M1 Demand Driver'!$B$3:$L$3, 0)))</f>
        <v>464422.20654881222</v>
      </c>
      <c r="C50" s="250">
        <f>B50*INDEX('M2 HAR'!$B$45:$AE$45, MATCH($A50, 'M2 HAR'!$B$31:$AE$31, 0))</f>
        <v>73999.812227786169</v>
      </c>
      <c r="D50" s="277">
        <f t="shared" si="12"/>
        <v>310799.21135670185</v>
      </c>
      <c r="E50" s="250">
        <f>SUM(INDEX('M1 Demand Driver'!$B$8:$L$17, , MATCH($A50, 'M1 Demand Driver'!$B$3:$L$3, 0)))</f>
        <v>2650888.0928045986</v>
      </c>
      <c r="F50" s="250">
        <f>E50*INDEX('M2 HAR'!$B$46:$AE$46, MATCH($A50, 'M2 HAR'!$B$31:$AE$31, 0))</f>
        <v>262729.74610313418</v>
      </c>
      <c r="G50" s="277">
        <f t="shared" si="8"/>
        <v>1418740.6289569247</v>
      </c>
      <c r="H50" s="250">
        <f>SUM(INDEX('M1 Demand Driver'!$B$18:$L$23, , MATCH($A50, 'M1 Demand Driver'!$B$3:$L$3, 0)))*(1+$B$11)</f>
        <v>1022011.660543141</v>
      </c>
      <c r="I50" s="250">
        <f>H50*INDEX('M2 HAR'!$B$47:$AE$47, MATCH($A50, 'M2 HAR'!$B$31:$AE$31, 0))</f>
        <v>337700.27303342253</v>
      </c>
      <c r="J50" s="277">
        <f t="shared" si="9"/>
        <v>2634062.1296606958</v>
      </c>
      <c r="K50" s="278">
        <f t="shared" si="10"/>
        <v>674429.83136434294</v>
      </c>
      <c r="L50" s="278">
        <f t="shared" si="10"/>
        <v>4363601.9699743222</v>
      </c>
      <c r="N50" s="279"/>
    </row>
    <row r="51" spans="1:14" x14ac:dyDescent="0.25">
      <c r="A51" s="249">
        <f t="shared" si="11"/>
        <v>2034</v>
      </c>
      <c r="B51" s="250">
        <f>SUM(INDEX('M1 Demand Driver'!$B$4:$L$7, , MATCH($A51, 'M1 Demand Driver'!$B$3:$L$3, 0)))</f>
        <v>453203.13708868733</v>
      </c>
      <c r="C51" s="250">
        <f>B51*INDEX('M2 HAR'!$B$45:$AE$45, MATCH($A51, 'M2 HAR'!$B$31:$AE$31, 0))</f>
        <v>73347.071535672614</v>
      </c>
      <c r="D51" s="277">
        <f t="shared" si="12"/>
        <v>308057.70044982492</v>
      </c>
      <c r="E51" s="250">
        <f>SUM(INDEX('M1 Demand Driver'!$B$8:$L$17, , MATCH($A51, 'M1 Demand Driver'!$B$3:$L$3, 0)))</f>
        <v>2622574.655501117</v>
      </c>
      <c r="F51" s="250">
        <f>E51*INDEX('M2 HAR'!$B$46:$AE$46, MATCH($A51, 'M2 HAR'!$B$31:$AE$31, 0))</f>
        <v>262834.04086956475</v>
      </c>
      <c r="G51" s="277">
        <f t="shared" si="8"/>
        <v>1419303.8206956498</v>
      </c>
      <c r="H51" s="250">
        <f>SUM(INDEX('M1 Demand Driver'!$B$18:$L$23, , MATCH($A51, 'M1 Demand Driver'!$B$3:$L$3, 0)))*(1+$B$11)</f>
        <v>1042757.5470732629</v>
      </c>
      <c r="I51" s="250">
        <f>H51*INDEX('M2 HAR'!$B$47:$AE$47, MATCH($A51, 'M2 HAR'!$B$31:$AE$31, 0))</f>
        <v>343702.4282201762</v>
      </c>
      <c r="J51" s="277">
        <f t="shared" si="9"/>
        <v>2680878.9401173745</v>
      </c>
      <c r="K51" s="278">
        <f t="shared" si="10"/>
        <v>679883.54062541365</v>
      </c>
      <c r="L51" s="278">
        <f t="shared" si="10"/>
        <v>4408240.4612628492</v>
      </c>
    </row>
    <row r="52" spans="1:14" x14ac:dyDescent="0.25">
      <c r="A52" s="249">
        <f t="shared" si="11"/>
        <v>2035</v>
      </c>
      <c r="B52" s="250">
        <f>SUM(INDEX('M1 Demand Driver'!$B$4:$L$7, , MATCH($A52, 'M1 Demand Driver'!$B$3:$L$3, 0)))</f>
        <v>442497.33079312567</v>
      </c>
      <c r="C52" s="250">
        <f>B52*INDEX('M2 HAR'!$B$45:$AE$45, MATCH($A52, 'M2 HAR'!$B$31:$AE$31, 0))</f>
        <v>72722.495538083545</v>
      </c>
      <c r="D52" s="277">
        <f t="shared" si="12"/>
        <v>305434.48125995084</v>
      </c>
      <c r="E52" s="250">
        <f>SUM(INDEX('M1 Demand Driver'!$B$8:$L$17, , MATCH($A52, 'M1 Demand Driver'!$B$3:$L$3, 0)))</f>
        <v>2593259.1251925332</v>
      </c>
      <c r="F52" s="250">
        <f>E52*INDEX('M2 HAR'!$B$46:$AE$46, MATCH($A52, 'M2 HAR'!$B$31:$AE$31, 0))</f>
        <v>262765.52885279321</v>
      </c>
      <c r="G52" s="277">
        <f t="shared" si="8"/>
        <v>1418933.8558050834</v>
      </c>
      <c r="H52" s="250">
        <f>SUM(INDEX('M1 Demand Driver'!$B$18:$L$23, , MATCH($A52, 'M1 Demand Driver'!$B$3:$L$3, 0)))*(1+$B$11)</f>
        <v>1061853.7772637852</v>
      </c>
      <c r="I52" s="250">
        <f>H52*INDEX('M2 HAR'!$B$47:$AE$47, MATCH($A52, 'M2 HAR'!$B$31:$AE$31, 0))</f>
        <v>349126.046102288</v>
      </c>
      <c r="J52" s="277">
        <f t="shared" si="9"/>
        <v>2723183.1595978467</v>
      </c>
      <c r="K52" s="278">
        <f t="shared" si="10"/>
        <v>684614.07049316471</v>
      </c>
      <c r="L52" s="278">
        <f>SUM(D52,G52,J52)</f>
        <v>4447551.4966628812</v>
      </c>
      <c r="N52" s="280"/>
    </row>
    <row r="54" spans="1:14" x14ac:dyDescent="0.25">
      <c r="A54" s="84" t="s">
        <v>244</v>
      </c>
      <c r="C54" s="281"/>
      <c r="G54" s="78" t="s">
        <v>245</v>
      </c>
      <c r="L54" s="279"/>
    </row>
    <row r="55" spans="1:14" ht="12.75" customHeight="1" x14ac:dyDescent="0.25">
      <c r="A55" s="342" t="s">
        <v>195</v>
      </c>
      <c r="B55" s="492" t="s">
        <v>219</v>
      </c>
      <c r="C55" s="493"/>
      <c r="D55" s="493"/>
      <c r="E55" s="494"/>
      <c r="G55" s="244" t="s">
        <v>246</v>
      </c>
      <c r="H55" s="495" t="s">
        <v>219</v>
      </c>
      <c r="I55" s="496"/>
      <c r="J55" s="496"/>
      <c r="K55" s="283"/>
    </row>
    <row r="56" spans="1:14" x14ac:dyDescent="0.25">
      <c r="A56" s="282">
        <f ca="1">G37</f>
        <v>0.7421392237335096</v>
      </c>
      <c r="B56" s="269">
        <v>0.02</v>
      </c>
      <c r="C56" s="270">
        <v>2.5000000000000001E-2</v>
      </c>
      <c r="D56" s="270">
        <v>0.03</v>
      </c>
      <c r="E56" s="271">
        <v>3.5299999999999998E-2</v>
      </c>
      <c r="G56" s="257">
        <f ca="1">G37</f>
        <v>0.7421392237335096</v>
      </c>
      <c r="H56" s="284">
        <v>0.02</v>
      </c>
      <c r="I56" s="285">
        <v>2.5000000000000001E-2</v>
      </c>
      <c r="J56" s="285">
        <v>0.03</v>
      </c>
      <c r="K56" s="271">
        <v>3.5299999999999998E-2</v>
      </c>
    </row>
    <row r="57" spans="1:14" x14ac:dyDescent="0.25">
      <c r="A57" s="286">
        <v>-0.1</v>
      </c>
      <c r="B57" s="287">
        <f t="dataTable" ref="B57:E61" dt2D="1" dtr="1" r1="B9" r2="B10" ca="1"/>
        <v>0.78117090058586514</v>
      </c>
      <c r="C57" s="288">
        <v>0.74195796403301228</v>
      </c>
      <c r="D57" s="288">
        <v>0.70504812700223674</v>
      </c>
      <c r="E57" s="225">
        <v>0.6679253013601586</v>
      </c>
      <c r="G57" s="289">
        <v>-0.01</v>
      </c>
      <c r="H57" s="287">
        <f t="dataTable" ref="H57:K61" dt2D="1" dtr="1" r1="B9" r2="B11" ca="1"/>
        <v>0.86265320398541401</v>
      </c>
      <c r="I57" s="288">
        <v>0.81935004800555677</v>
      </c>
      <c r="J57" s="288">
        <v>0.77859022304369729</v>
      </c>
      <c r="K57" s="225">
        <v>0.73759519307379828</v>
      </c>
    </row>
    <row r="58" spans="1:14" x14ac:dyDescent="0.25">
      <c r="A58" s="286">
        <v>-0.05</v>
      </c>
      <c r="B58" s="290">
        <v>0.82456928395174645</v>
      </c>
      <c r="C58" s="291">
        <v>0.78317785092373515</v>
      </c>
      <c r="D58" s="291">
        <v>0.74421746739124983</v>
      </c>
      <c r="E58" s="228">
        <v>0.70503226254683415</v>
      </c>
      <c r="G58" s="289">
        <v>0</v>
      </c>
      <c r="H58" s="290">
        <v>0.86796766731762798</v>
      </c>
      <c r="I58" s="291">
        <v>0.82439773781445813</v>
      </c>
      <c r="J58" s="291">
        <v>0.78338680778026304</v>
      </c>
      <c r="K58" s="228">
        <v>0.7421392237335096</v>
      </c>
    </row>
    <row r="59" spans="1:14" x14ac:dyDescent="0.25">
      <c r="A59" s="286">
        <v>0</v>
      </c>
      <c r="B59" s="290">
        <v>0.86796766731762798</v>
      </c>
      <c r="C59" s="291">
        <v>0.82439773781445813</v>
      </c>
      <c r="D59" s="291">
        <v>0.78338680778026304</v>
      </c>
      <c r="E59" s="228">
        <v>0.7421392237335096</v>
      </c>
      <c r="G59" s="289">
        <v>5.0000000000000001E-3</v>
      </c>
      <c r="H59" s="290">
        <v>0.87062489898373485</v>
      </c>
      <c r="I59" s="291">
        <v>0.8269215827189087</v>
      </c>
      <c r="J59" s="291">
        <v>0.78578510014854586</v>
      </c>
      <c r="K59" s="228">
        <v>0.74441123906336526</v>
      </c>
    </row>
    <row r="60" spans="1:14" x14ac:dyDescent="0.25">
      <c r="A60" s="286">
        <v>0.05</v>
      </c>
      <c r="B60" s="290">
        <v>0.91136605068350929</v>
      </c>
      <c r="C60" s="291">
        <v>0.865617624705181</v>
      </c>
      <c r="D60" s="291">
        <v>0.82255614816927614</v>
      </c>
      <c r="E60" s="228">
        <v>0.77924618492018505</v>
      </c>
      <c r="G60" s="289">
        <v>0.01</v>
      </c>
      <c r="H60" s="290">
        <v>0.87328213064984173</v>
      </c>
      <c r="I60" s="291">
        <v>0.82944542762335938</v>
      </c>
      <c r="J60" s="291">
        <v>0.78818339251682867</v>
      </c>
      <c r="K60" s="228">
        <v>0.74668325439322081</v>
      </c>
    </row>
    <row r="61" spans="1:14" x14ac:dyDescent="0.25">
      <c r="A61" s="292">
        <v>0.1</v>
      </c>
      <c r="B61" s="293">
        <v>0.95476443404939093</v>
      </c>
      <c r="C61" s="294">
        <v>0.90683751159590409</v>
      </c>
      <c r="D61" s="294">
        <v>0.86172548855828945</v>
      </c>
      <c r="E61" s="237">
        <v>0.81635314610686072</v>
      </c>
      <c r="G61" s="295">
        <v>1.4999999999999999E-2</v>
      </c>
      <c r="H61" s="293">
        <v>0.8759393623159486</v>
      </c>
      <c r="I61" s="294">
        <v>0.83196927252780994</v>
      </c>
      <c r="J61" s="294">
        <v>0.79058168488511149</v>
      </c>
      <c r="K61" s="237">
        <v>0.74895526972307647</v>
      </c>
    </row>
    <row r="63" spans="1:14" x14ac:dyDescent="0.25">
      <c r="A63" s="84" t="s">
        <v>247</v>
      </c>
      <c r="C63" s="281"/>
    </row>
    <row r="64" spans="1:14" ht="12.75" customHeight="1" x14ac:dyDescent="0.25">
      <c r="A64" s="342" t="s">
        <v>248</v>
      </c>
      <c r="B64" s="492" t="s">
        <v>219</v>
      </c>
      <c r="C64" s="493"/>
      <c r="D64" s="493"/>
      <c r="E64" s="494"/>
    </row>
    <row r="65" spans="1:5" x14ac:dyDescent="0.25">
      <c r="A65" s="282">
        <f ca="1">G37</f>
        <v>0.7421392237335096</v>
      </c>
      <c r="B65" s="269">
        <v>0.02</v>
      </c>
      <c r="C65" s="270">
        <v>2.5000000000000001E-2</v>
      </c>
      <c r="D65" s="270">
        <v>0.03</v>
      </c>
      <c r="E65" s="271">
        <v>3.5299999999999998E-2</v>
      </c>
    </row>
    <row r="66" spans="1:5" x14ac:dyDescent="0.25">
      <c r="A66" s="296">
        <v>-0.01</v>
      </c>
      <c r="B66" s="287">
        <f t="dataTable" ref="B66:E70" dt2D="1" dtr="1" r1="B9" r2="B12" ca="1"/>
        <v>0.84364320541435289</v>
      </c>
      <c r="C66" s="288">
        <v>0.80129430652123268</v>
      </c>
      <c r="D66" s="288">
        <v>0.76143269211571485</v>
      </c>
      <c r="E66" s="225">
        <v>0.72134105583582708</v>
      </c>
    </row>
    <row r="67" spans="1:5" x14ac:dyDescent="0.25">
      <c r="A67" s="296">
        <f>-0.6%</f>
        <v>-6.0000000000000001E-3</v>
      </c>
      <c r="B67" s="290">
        <v>0.86796766731762798</v>
      </c>
      <c r="C67" s="291">
        <v>0.82439773781445813</v>
      </c>
      <c r="D67" s="291">
        <v>0.78338680778026304</v>
      </c>
      <c r="E67" s="228">
        <v>0.7421392237335096</v>
      </c>
    </row>
    <row r="68" spans="1:5" x14ac:dyDescent="0.25">
      <c r="A68" s="296">
        <v>0</v>
      </c>
      <c r="B68" s="290">
        <v>0.90633855654146722</v>
      </c>
      <c r="C68" s="291">
        <v>0.86084249891001907</v>
      </c>
      <c r="D68" s="291">
        <v>0.81801856833149278</v>
      </c>
      <c r="E68" s="228">
        <v>0.77494752180128057</v>
      </c>
    </row>
    <row r="69" spans="1:5" x14ac:dyDescent="0.25">
      <c r="A69" s="296">
        <v>5.0000000000000001E-3</v>
      </c>
      <c r="B69" s="290">
        <v>0.94012125821773085</v>
      </c>
      <c r="C69" s="291">
        <v>0.89292938865009597</v>
      </c>
      <c r="D69" s="291">
        <v>0.84850924652247706</v>
      </c>
      <c r="E69" s="228">
        <v>0.80383277748727178</v>
      </c>
    </row>
    <row r="70" spans="1:5" x14ac:dyDescent="0.25">
      <c r="A70" s="297">
        <v>0.01</v>
      </c>
      <c r="B70" s="293">
        <v>0.9756271734770271</v>
      </c>
      <c r="C70" s="294">
        <v>0.92665299071612095</v>
      </c>
      <c r="D70" s="294">
        <v>0.88055521627415667</v>
      </c>
      <c r="E70" s="237">
        <v>0.83419143412930441</v>
      </c>
    </row>
  </sheetData>
  <mergeCells count="14">
    <mergeCell ref="B64:E64"/>
    <mergeCell ref="B55:E55"/>
    <mergeCell ref="H55:J55"/>
    <mergeCell ref="L40:L41"/>
    <mergeCell ref="A2:F2"/>
    <mergeCell ref="A40:A41"/>
    <mergeCell ref="B40:D40"/>
    <mergeCell ref="E40:G40"/>
    <mergeCell ref="H40:J40"/>
    <mergeCell ref="K40:K41"/>
    <mergeCell ref="I24:L24"/>
    <mergeCell ref="I26:L26"/>
    <mergeCell ref="D9:D12"/>
    <mergeCell ref="D7:D8"/>
  </mergeCells>
  <conditionalFormatting sqref="A23:D23 G27:G37 I27:L37">
    <cfRule type="cellIs" dxfId="9" priority="1" operator="lessThan">
      <formula>$B$5</formula>
    </cfRule>
    <cfRule type="cellIs" dxfId="8" priority="2" operator="greaterThan">
      <formula>$B$6</formula>
    </cfRule>
    <cfRule type="cellIs" dxfId="7" priority="3" operator="between">
      <formula>$B$5</formula>
      <formula>$B$6</formula>
    </cfRule>
  </conditionalFormatting>
  <dataValidations count="6">
    <dataValidation type="list" allowBlank="1" showInputMessage="1" showErrorMessage="1" sqref="H56:K56 B56:E56 B65:E65" xr:uid="{B26D1297-ED8A-394E-9621-8E1DE322E7ED}">
      <formula1>Bed_Expansion_Rate_Options</formula1>
    </dataValidation>
    <dataValidation type="list" allowBlank="1" sqref="B11" xr:uid="{11BA7044-DA8D-404B-81F1-8112AC731B74}">
      <formula1>Elderly_Population_Growth_Adjust_Options</formula1>
    </dataValidation>
    <dataValidation type="list" allowBlank="1" sqref="B10" xr:uid="{6F7946E9-EE3E-4070-943E-7BAE1A147CFE}">
      <formula1>ALOS_Factor_Options</formula1>
    </dataValidation>
    <dataValidation type="list" allowBlank="1" sqref="B12" xr:uid="{264603BE-DB5A-4C26-B914-A22FD7C54A4B}">
      <formula1>Govt_Policy_Factor_Options</formula1>
    </dataValidation>
    <dataValidation type="list" allowBlank="1" sqref="B9" xr:uid="{219AE828-1AB9-4EFD-8A02-D68F34A36BA6}">
      <formula1>Bed_Expansion_Rate_Options</formula1>
    </dataValidation>
    <dataValidation allowBlank="1" sqref="I25:L25" xr:uid="{1E2955E2-6B5D-41CB-91E1-8FF2EED5C8EF}"/>
  </dataValidation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2D17-48AC-7640-9369-827E9432D5A7}">
  <dimension ref="A1:N62"/>
  <sheetViews>
    <sheetView zoomScale="110" zoomScaleNormal="110" workbookViewId="0"/>
  </sheetViews>
  <sheetFormatPr defaultColWidth="10.88671875" defaultRowHeight="13.2" x14ac:dyDescent="0.25"/>
  <cols>
    <col min="1" max="1" width="25.88671875" style="37" customWidth="1"/>
    <col min="2" max="2" width="16.44140625" style="37" customWidth="1"/>
    <col min="3" max="3" width="16" style="37" customWidth="1"/>
    <col min="4" max="4" width="14.88671875" style="37" customWidth="1"/>
    <col min="5" max="5" width="11.33203125" style="37" bestFit="1" customWidth="1"/>
    <col min="6" max="6" width="15.109375" style="37" bestFit="1" customWidth="1"/>
    <col min="7" max="7" width="14.6640625" style="37" bestFit="1" customWidth="1"/>
    <col min="8" max="16384" width="10.88671875" style="37"/>
  </cols>
  <sheetData>
    <row r="1" spans="1:3" x14ac:dyDescent="0.25">
      <c r="A1" s="84" t="s">
        <v>249</v>
      </c>
    </row>
    <row r="2" spans="1:3" x14ac:dyDescent="0.25">
      <c r="A2" s="404" t="s">
        <v>250</v>
      </c>
    </row>
    <row r="3" spans="1:3" x14ac:dyDescent="0.25">
      <c r="A3" s="405" t="s">
        <v>251</v>
      </c>
    </row>
    <row r="4" spans="1:3" x14ac:dyDescent="0.25">
      <c r="A4" s="78" t="s">
        <v>252</v>
      </c>
    </row>
    <row r="5" spans="1:3" x14ac:dyDescent="0.25">
      <c r="A5" s="405" t="s">
        <v>253</v>
      </c>
    </row>
    <row r="6" spans="1:3" x14ac:dyDescent="0.25">
      <c r="A6" s="405"/>
    </row>
    <row r="7" spans="1:3" x14ac:dyDescent="0.25">
      <c r="A7" s="84" t="s">
        <v>254</v>
      </c>
    </row>
    <row r="8" spans="1:3" x14ac:dyDescent="0.25">
      <c r="A8" s="187" t="s">
        <v>255</v>
      </c>
      <c r="B8" s="188" t="s">
        <v>256</v>
      </c>
      <c r="C8" s="189" t="s">
        <v>257</v>
      </c>
    </row>
    <row r="9" spans="1:3" x14ac:dyDescent="0.25">
      <c r="A9" s="190" t="s">
        <v>193</v>
      </c>
      <c r="B9" s="191" t="s">
        <v>258</v>
      </c>
      <c r="C9" s="192">
        <f>D35-D33</f>
        <v>-8.225851408094853E-2</v>
      </c>
    </row>
    <row r="10" spans="1:3" x14ac:dyDescent="0.25">
      <c r="A10" s="190" t="s">
        <v>195</v>
      </c>
      <c r="B10" s="191" t="s">
        <v>259</v>
      </c>
      <c r="C10" s="192">
        <f ca="1">E42-E40</f>
        <v>7.4213922373351005E-2</v>
      </c>
    </row>
    <row r="11" spans="1:3" x14ac:dyDescent="0.25">
      <c r="A11" s="190" t="s">
        <v>197</v>
      </c>
      <c r="B11" s="191" t="s">
        <v>260</v>
      </c>
      <c r="C11" s="192">
        <f ca="1">E53-E50</f>
        <v>6.8160459895668657E-3</v>
      </c>
    </row>
    <row r="12" spans="1:3" x14ac:dyDescent="0.25">
      <c r="A12" s="193" t="s">
        <v>199</v>
      </c>
      <c r="B12" s="194" t="s">
        <v>261</v>
      </c>
      <c r="C12" s="195">
        <f ca="1">E59-E60</f>
        <v>-3.2808298067770969E-2</v>
      </c>
    </row>
    <row r="14" spans="1:3" x14ac:dyDescent="0.25">
      <c r="A14" s="84" t="s">
        <v>262</v>
      </c>
      <c r="B14" s="97"/>
      <c r="C14" s="97"/>
    </row>
    <row r="15" spans="1:3" x14ac:dyDescent="0.25">
      <c r="A15" s="196" t="s">
        <v>195</v>
      </c>
      <c r="B15" s="197" t="s">
        <v>263</v>
      </c>
      <c r="C15" s="198"/>
    </row>
    <row r="16" spans="1:3" x14ac:dyDescent="0.25">
      <c r="A16" s="199" t="s">
        <v>264</v>
      </c>
      <c r="B16" s="97">
        <v>0.68276808583482884</v>
      </c>
      <c r="C16" s="200"/>
    </row>
    <row r="17" spans="1:12" x14ac:dyDescent="0.25">
      <c r="A17" s="201" t="s">
        <v>265</v>
      </c>
      <c r="B17" s="97">
        <v>0.7421392237335096</v>
      </c>
      <c r="C17" s="200"/>
    </row>
    <row r="18" spans="1:12" x14ac:dyDescent="0.25">
      <c r="A18" s="201" t="s">
        <v>266</v>
      </c>
      <c r="B18" s="97">
        <v>0.80151036163219036</v>
      </c>
      <c r="C18" s="200"/>
    </row>
    <row r="19" spans="1:12" x14ac:dyDescent="0.25">
      <c r="A19" s="201" t="s">
        <v>267</v>
      </c>
      <c r="B19" s="97">
        <v>0.86088149953087112</v>
      </c>
      <c r="C19" s="200"/>
    </row>
    <row r="20" spans="1:12" x14ac:dyDescent="0.25">
      <c r="A20" s="202" t="s">
        <v>268</v>
      </c>
      <c r="B20" s="203">
        <v>0.92767402966688706</v>
      </c>
      <c r="C20" s="204"/>
    </row>
    <row r="21" spans="1:12" x14ac:dyDescent="0.25">
      <c r="L21" s="405"/>
    </row>
    <row r="22" spans="1:12" x14ac:dyDescent="0.25">
      <c r="A22" s="84" t="s">
        <v>269</v>
      </c>
    </row>
    <row r="23" spans="1:12" x14ac:dyDescent="0.25">
      <c r="A23" s="205" t="s">
        <v>197</v>
      </c>
      <c r="B23" s="206" t="s">
        <v>263</v>
      </c>
      <c r="C23" s="207"/>
    </row>
    <row r="24" spans="1:12" x14ac:dyDescent="0.25">
      <c r="A24" s="208">
        <v>-0.01</v>
      </c>
      <c r="B24" s="97">
        <v>0.73759519307379828</v>
      </c>
      <c r="C24" s="200"/>
    </row>
    <row r="25" spans="1:12" x14ac:dyDescent="0.25">
      <c r="A25" s="209">
        <v>0</v>
      </c>
      <c r="B25" s="97">
        <v>0.7421392237335096</v>
      </c>
      <c r="C25" s="200"/>
    </row>
    <row r="26" spans="1:12" x14ac:dyDescent="0.25">
      <c r="A26" s="209">
        <v>5.0000000000000001E-3</v>
      </c>
      <c r="B26" s="97">
        <v>0.74441123906336526</v>
      </c>
      <c r="C26" s="200"/>
    </row>
    <row r="27" spans="1:12" x14ac:dyDescent="0.25">
      <c r="A27" s="209">
        <v>0.01</v>
      </c>
      <c r="B27" s="97">
        <v>0.74668325439322081</v>
      </c>
      <c r="C27" s="200"/>
    </row>
    <row r="28" spans="1:12" x14ac:dyDescent="0.25">
      <c r="A28" s="210">
        <v>1.4999999999999999E-2</v>
      </c>
      <c r="B28" s="203">
        <v>0.74895526972307647</v>
      </c>
      <c r="C28" s="204"/>
    </row>
    <row r="30" spans="1:12" x14ac:dyDescent="0.25">
      <c r="A30" s="211" t="s">
        <v>270</v>
      </c>
      <c r="B30" s="212"/>
      <c r="C30" s="212"/>
      <c r="D30" s="212"/>
      <c r="E30" s="212"/>
      <c r="F30" s="212"/>
      <c r="G30" s="212"/>
    </row>
    <row r="31" spans="1:12" x14ac:dyDescent="0.25">
      <c r="A31" s="213" t="s">
        <v>193</v>
      </c>
      <c r="B31" s="214" t="s">
        <v>271</v>
      </c>
      <c r="C31" s="214" t="s">
        <v>272</v>
      </c>
      <c r="D31" s="214" t="s">
        <v>273</v>
      </c>
      <c r="E31" s="214" t="s">
        <v>274</v>
      </c>
      <c r="F31" s="214" t="s">
        <v>217</v>
      </c>
      <c r="G31" s="215" t="s">
        <v>218</v>
      </c>
    </row>
    <row r="32" spans="1:12" x14ac:dyDescent="0.25">
      <c r="A32" s="216">
        <v>0.02</v>
      </c>
      <c r="B32" s="217">
        <v>0.90258237269974273</v>
      </c>
      <c r="C32" s="217">
        <v>0.90421458662180731</v>
      </c>
      <c r="D32" s="217">
        <v>0.86796766731762798</v>
      </c>
      <c r="E32" s="217">
        <v>0.89667541730841716</v>
      </c>
      <c r="F32" s="218">
        <v>2025</v>
      </c>
      <c r="G32" s="219">
        <v>2025</v>
      </c>
    </row>
    <row r="33" spans="1:14" x14ac:dyDescent="0.25">
      <c r="A33" s="208">
        <v>2.5000000000000001E-2</v>
      </c>
      <c r="B33" s="97">
        <v>0.90035377424863228</v>
      </c>
      <c r="C33" s="97">
        <v>0.88004739676118815</v>
      </c>
      <c r="D33" s="97">
        <v>0.82439773781445813</v>
      </c>
      <c r="E33" s="97">
        <v>0.87304675602810144</v>
      </c>
      <c r="F33" s="37">
        <v>2025</v>
      </c>
      <c r="G33" s="220">
        <v>2025</v>
      </c>
    </row>
    <row r="34" spans="1:14" x14ac:dyDescent="0.25">
      <c r="A34" s="208">
        <v>0.03</v>
      </c>
      <c r="B34" s="97">
        <v>0.89813615411501502</v>
      </c>
      <c r="C34" s="97">
        <v>0.85686529567103364</v>
      </c>
      <c r="D34" s="97">
        <v>0.78338680778026304</v>
      </c>
      <c r="E34" s="97">
        <v>0.85049348993035823</v>
      </c>
      <c r="F34" s="37">
        <v>2025</v>
      </c>
      <c r="G34" s="220">
        <v>2025</v>
      </c>
    </row>
    <row r="35" spans="1:14" x14ac:dyDescent="0.25">
      <c r="A35" s="221">
        <v>3.5299999999999998E-2</v>
      </c>
      <c r="B35" s="203">
        <v>0.89578270202431065</v>
      </c>
      <c r="C35" s="203">
        <v>0.8329193079203151</v>
      </c>
      <c r="D35" s="203">
        <v>0.7421392237335096</v>
      </c>
      <c r="E35" s="203">
        <v>0.8274048853729048</v>
      </c>
      <c r="F35" s="212">
        <v>2025</v>
      </c>
      <c r="G35" s="222">
        <v>2025</v>
      </c>
    </row>
    <row r="37" spans="1:14" x14ac:dyDescent="0.25">
      <c r="A37" s="211" t="s">
        <v>275</v>
      </c>
      <c r="B37" s="212"/>
      <c r="C37" s="212"/>
      <c r="D37" s="212"/>
    </row>
    <row r="38" spans="1:14" x14ac:dyDescent="0.25">
      <c r="A38" s="223" t="s">
        <v>195</v>
      </c>
      <c r="B38" s="496" t="s">
        <v>219</v>
      </c>
      <c r="C38" s="496"/>
      <c r="D38" s="496"/>
      <c r="E38" s="513"/>
    </row>
    <row r="39" spans="1:14" x14ac:dyDescent="0.25">
      <c r="A39" s="224" cm="1">
        <f t="array" aca="1" ref="A39:E44" ca="1">'M2 BOR &amp; Tradeoff analysis'!A56:E61</f>
        <v>0.7421392237335096</v>
      </c>
      <c r="B39" s="217">
        <f ca="1"/>
        <v>0.02</v>
      </c>
      <c r="C39" s="217">
        <f ca="1"/>
        <v>2.5000000000000001E-2</v>
      </c>
      <c r="D39" s="217">
        <f ca="1"/>
        <v>0.03</v>
      </c>
      <c r="E39" s="225">
        <f ca="1"/>
        <v>3.5299999999999998E-2</v>
      </c>
      <c r="F39" s="226"/>
    </row>
    <row r="40" spans="1:14" x14ac:dyDescent="0.25">
      <c r="A40" s="227">
        <f ca="1"/>
        <v>-0.1</v>
      </c>
      <c r="B40" s="97">
        <f ca="1"/>
        <v>0.78117090058586514</v>
      </c>
      <c r="C40" s="97">
        <f ca="1"/>
        <v>0.74195796403301228</v>
      </c>
      <c r="D40" s="97">
        <f ca="1"/>
        <v>0.70504812700223674</v>
      </c>
      <c r="E40" s="228">
        <f ca="1"/>
        <v>0.6679253013601586</v>
      </c>
      <c r="F40" s="226"/>
      <c r="K40" s="229"/>
      <c r="L40" s="230"/>
      <c r="M40" s="230"/>
      <c r="N40" s="230"/>
    </row>
    <row r="41" spans="1:14" x14ac:dyDescent="0.25">
      <c r="A41" s="231">
        <f ca="1"/>
        <v>-0.05</v>
      </c>
      <c r="B41" s="97">
        <f ca="1"/>
        <v>0.82456928395174645</v>
      </c>
      <c r="C41" s="97">
        <f ca="1"/>
        <v>0.78317785092373515</v>
      </c>
      <c r="D41" s="97">
        <f ca="1"/>
        <v>0.74421746739124983</v>
      </c>
      <c r="E41" s="200">
        <f ca="1"/>
        <v>0.70503226254683415</v>
      </c>
      <c r="F41" s="97"/>
      <c r="K41" s="230"/>
      <c r="L41" s="230"/>
      <c r="M41" s="230"/>
      <c r="N41" s="230"/>
    </row>
    <row r="42" spans="1:14" x14ac:dyDescent="0.25">
      <c r="A42" s="231">
        <f ca="1"/>
        <v>0</v>
      </c>
      <c r="B42" s="97">
        <f ca="1"/>
        <v>0.86796766731762798</v>
      </c>
      <c r="C42" s="97">
        <f ca="1"/>
        <v>0.82439773781445813</v>
      </c>
      <c r="D42" s="97">
        <f ca="1"/>
        <v>0.78338680778026304</v>
      </c>
      <c r="E42" s="200">
        <f ca="1"/>
        <v>0.7421392237335096</v>
      </c>
      <c r="F42" s="97"/>
      <c r="K42" s="232"/>
      <c r="L42" s="230"/>
      <c r="M42" s="230"/>
      <c r="N42" s="230"/>
    </row>
    <row r="43" spans="1:14" x14ac:dyDescent="0.25">
      <c r="A43" s="231">
        <f ca="1"/>
        <v>0.05</v>
      </c>
      <c r="B43" s="97">
        <f ca="1"/>
        <v>0.91136605068350929</v>
      </c>
      <c r="C43" s="97">
        <f ca="1"/>
        <v>0.865617624705181</v>
      </c>
      <c r="D43" s="97">
        <f ca="1"/>
        <v>0.82255614816927614</v>
      </c>
      <c r="E43" s="200">
        <f ca="1"/>
        <v>0.77924618492018505</v>
      </c>
      <c r="F43" s="97"/>
      <c r="K43" s="232"/>
      <c r="L43" s="230"/>
      <c r="M43" s="230"/>
      <c r="N43" s="230"/>
    </row>
    <row r="44" spans="1:14" x14ac:dyDescent="0.25">
      <c r="A44" s="233">
        <f ca="1"/>
        <v>0.1</v>
      </c>
      <c r="B44" s="203">
        <f ca="1"/>
        <v>0.95476443404939093</v>
      </c>
      <c r="C44" s="203">
        <f ca="1"/>
        <v>0.90683751159590409</v>
      </c>
      <c r="D44" s="203">
        <f ca="1"/>
        <v>0.86172548855828945</v>
      </c>
      <c r="E44" s="204">
        <f ca="1"/>
        <v>0.81635314610686072</v>
      </c>
      <c r="F44" s="97"/>
      <c r="K44" s="232"/>
      <c r="L44" s="230"/>
      <c r="M44" s="230"/>
      <c r="N44" s="230"/>
    </row>
    <row r="45" spans="1:14" x14ac:dyDescent="0.25">
      <c r="B45" s="97"/>
      <c r="C45" s="97"/>
    </row>
    <row r="46" spans="1:14" x14ac:dyDescent="0.25">
      <c r="A46" s="211" t="s">
        <v>276</v>
      </c>
      <c r="B46" s="212"/>
      <c r="C46" s="212"/>
      <c r="D46" s="212"/>
    </row>
    <row r="47" spans="1:14" x14ac:dyDescent="0.25">
      <c r="A47" s="234" t="s">
        <v>246</v>
      </c>
      <c r="B47" s="496" t="s">
        <v>219</v>
      </c>
      <c r="C47" s="496"/>
      <c r="D47" s="496"/>
      <c r="E47" s="513"/>
    </row>
    <row r="48" spans="1:14" x14ac:dyDescent="0.25">
      <c r="A48" s="216" cm="1">
        <f t="array" aca="1" ref="A48:E53" ca="1">'M2 BOR &amp; Tradeoff analysis'!G56:K61</f>
        <v>0.7421392237335096</v>
      </c>
      <c r="B48" s="217">
        <f ca="1"/>
        <v>0.02</v>
      </c>
      <c r="C48" s="217">
        <f ca="1"/>
        <v>2.5000000000000001E-2</v>
      </c>
      <c r="D48" s="217">
        <f ca="1"/>
        <v>0.03</v>
      </c>
      <c r="E48" s="225">
        <f ca="1"/>
        <v>3.5299999999999998E-2</v>
      </c>
    </row>
    <row r="49" spans="1:5" x14ac:dyDescent="0.25">
      <c r="A49" s="209">
        <f ca="1"/>
        <v>-0.01</v>
      </c>
      <c r="B49" s="235">
        <f ca="1"/>
        <v>0.86265320398541401</v>
      </c>
      <c r="C49" s="235">
        <f ca="1"/>
        <v>0.81935004800555677</v>
      </c>
      <c r="D49" s="235">
        <f ca="1"/>
        <v>0.77859022304369729</v>
      </c>
      <c r="E49" s="228">
        <f ca="1"/>
        <v>0.73759519307379828</v>
      </c>
    </row>
    <row r="50" spans="1:5" x14ac:dyDescent="0.25">
      <c r="A50" s="209">
        <f ca="1"/>
        <v>0</v>
      </c>
      <c r="B50" s="235">
        <f ca="1"/>
        <v>0.86796766731762798</v>
      </c>
      <c r="C50" s="235">
        <f ca="1"/>
        <v>0.82439773781445813</v>
      </c>
      <c r="D50" s="235">
        <f ca="1"/>
        <v>0.78338680778026304</v>
      </c>
      <c r="E50" s="228">
        <f ca="1"/>
        <v>0.7421392237335096</v>
      </c>
    </row>
    <row r="51" spans="1:5" x14ac:dyDescent="0.25">
      <c r="A51" s="209">
        <f ca="1"/>
        <v>5.0000000000000001E-3</v>
      </c>
      <c r="B51" s="235">
        <f ca="1"/>
        <v>0.87062489898373485</v>
      </c>
      <c r="C51" s="235">
        <f ca="1"/>
        <v>0.8269215827189087</v>
      </c>
      <c r="D51" s="235">
        <f ca="1"/>
        <v>0.78578510014854586</v>
      </c>
      <c r="E51" s="228">
        <f ca="1"/>
        <v>0.74441123906336526</v>
      </c>
    </row>
    <row r="52" spans="1:5" x14ac:dyDescent="0.25">
      <c r="A52" s="209">
        <f ca="1"/>
        <v>0.01</v>
      </c>
      <c r="B52" s="235">
        <f ca="1"/>
        <v>0.87328213064984173</v>
      </c>
      <c r="C52" s="235">
        <f ca="1"/>
        <v>0.82944542762335938</v>
      </c>
      <c r="D52" s="235">
        <f ca="1"/>
        <v>0.78818339251682867</v>
      </c>
      <c r="E52" s="228">
        <f ca="1"/>
        <v>0.74668325439322081</v>
      </c>
    </row>
    <row r="53" spans="1:5" x14ac:dyDescent="0.25">
      <c r="A53" s="210">
        <f ca="1"/>
        <v>1.4999999999999999E-2</v>
      </c>
      <c r="B53" s="236">
        <f ca="1"/>
        <v>0.8759393623159486</v>
      </c>
      <c r="C53" s="236">
        <f ca="1"/>
        <v>0.83196927252780994</v>
      </c>
      <c r="D53" s="236">
        <f ca="1"/>
        <v>0.79058168488511149</v>
      </c>
      <c r="E53" s="237">
        <f ca="1"/>
        <v>0.74895526972307647</v>
      </c>
    </row>
    <row r="55" spans="1:5" x14ac:dyDescent="0.25">
      <c r="A55" s="84" t="s">
        <v>277</v>
      </c>
    </row>
    <row r="56" spans="1:5" x14ac:dyDescent="0.25">
      <c r="A56" s="238" t="s">
        <v>199</v>
      </c>
      <c r="B56" s="496" t="s">
        <v>219</v>
      </c>
      <c r="C56" s="496"/>
      <c r="D56" s="496"/>
      <c r="E56" s="513"/>
    </row>
    <row r="57" spans="1:5" x14ac:dyDescent="0.25">
      <c r="A57" s="208" cm="1">
        <f t="array" aca="1" ref="A57:E62" ca="1">'M2 BOR &amp; Tradeoff analysis'!A65:E70</f>
        <v>0.7421392237335096</v>
      </c>
      <c r="B57" s="97">
        <f ca="1"/>
        <v>0.02</v>
      </c>
      <c r="C57" s="97">
        <f ca="1"/>
        <v>2.5000000000000001E-2</v>
      </c>
      <c r="D57" s="97">
        <f ca="1"/>
        <v>0.03</v>
      </c>
      <c r="E57" s="200">
        <f ca="1"/>
        <v>3.5299999999999998E-2</v>
      </c>
    </row>
    <row r="58" spans="1:5" x14ac:dyDescent="0.25">
      <c r="A58" s="209">
        <f ca="1"/>
        <v>-0.01</v>
      </c>
      <c r="B58" s="235">
        <f ca="1"/>
        <v>0.84364320541435289</v>
      </c>
      <c r="C58" s="235">
        <f ca="1"/>
        <v>0.80129430652123268</v>
      </c>
      <c r="D58" s="235">
        <f ca="1"/>
        <v>0.76143269211571485</v>
      </c>
      <c r="E58" s="228">
        <f ca="1"/>
        <v>0.72134105583582708</v>
      </c>
    </row>
    <row r="59" spans="1:5" x14ac:dyDescent="0.25">
      <c r="A59" s="209">
        <f ca="1"/>
        <v>-6.0000000000000001E-3</v>
      </c>
      <c r="B59" s="235">
        <f ca="1"/>
        <v>0.86796766731762798</v>
      </c>
      <c r="C59" s="235">
        <f ca="1"/>
        <v>0.82439773781445813</v>
      </c>
      <c r="D59" s="235">
        <f ca="1"/>
        <v>0.78338680778026304</v>
      </c>
      <c r="E59" s="228">
        <f ca="1"/>
        <v>0.7421392237335096</v>
      </c>
    </row>
    <row r="60" spans="1:5" x14ac:dyDescent="0.25">
      <c r="A60" s="209">
        <f ca="1"/>
        <v>0</v>
      </c>
      <c r="B60" s="235">
        <f ca="1"/>
        <v>0.90633855654146722</v>
      </c>
      <c r="C60" s="235">
        <f ca="1"/>
        <v>0.86084249891001907</v>
      </c>
      <c r="D60" s="235">
        <f ca="1"/>
        <v>0.81801856833149278</v>
      </c>
      <c r="E60" s="228">
        <f ca="1"/>
        <v>0.77494752180128057</v>
      </c>
    </row>
    <row r="61" spans="1:5" x14ac:dyDescent="0.25">
      <c r="A61" s="209">
        <f ca="1"/>
        <v>5.0000000000000001E-3</v>
      </c>
      <c r="B61" s="235">
        <f ca="1"/>
        <v>0.94012125821773085</v>
      </c>
      <c r="C61" s="235">
        <f ca="1"/>
        <v>0.89292938865009597</v>
      </c>
      <c r="D61" s="235">
        <f ca="1"/>
        <v>0.84850924652247706</v>
      </c>
      <c r="E61" s="228">
        <f ca="1"/>
        <v>0.80383277748727178</v>
      </c>
    </row>
    <row r="62" spans="1:5" x14ac:dyDescent="0.25">
      <c r="A62" s="210">
        <f ca="1"/>
        <v>0.01</v>
      </c>
      <c r="B62" s="236">
        <f ca="1"/>
        <v>0.9756271734770271</v>
      </c>
      <c r="C62" s="236">
        <f ca="1"/>
        <v>0.92665299071612095</v>
      </c>
      <c r="D62" s="236">
        <f ca="1"/>
        <v>0.88055521627415667</v>
      </c>
      <c r="E62" s="237">
        <f ca="1"/>
        <v>0.83419143412930441</v>
      </c>
    </row>
  </sheetData>
  <mergeCells count="3">
    <mergeCell ref="B56:E56"/>
    <mergeCell ref="B47:E47"/>
    <mergeCell ref="B38:E3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2C2-FD3D-47D2-B131-EF5400D5F060}">
  <dimension ref="A1:AF13"/>
  <sheetViews>
    <sheetView showGridLines="0" workbookViewId="0"/>
  </sheetViews>
  <sheetFormatPr defaultColWidth="8.88671875" defaultRowHeight="13.2" x14ac:dyDescent="0.25"/>
  <cols>
    <col min="1" max="1" width="31.88671875" style="37" customWidth="1"/>
    <col min="2" max="2" width="10.44140625" style="37" customWidth="1"/>
    <col min="3" max="3" width="10.6640625" style="37" customWidth="1"/>
    <col min="4" max="4" width="10.44140625" style="37" customWidth="1"/>
    <col min="5" max="5" width="11.109375" style="37" customWidth="1"/>
    <col min="6" max="6" width="10.44140625" style="37" customWidth="1"/>
    <col min="7" max="7" width="11.6640625" style="37" customWidth="1"/>
    <col min="8" max="8" width="10.44140625" style="37" customWidth="1"/>
    <col min="9" max="9" width="10.6640625" style="37" customWidth="1"/>
    <col min="10" max="10" width="10.44140625" style="37" customWidth="1"/>
    <col min="11" max="11" width="10.6640625" style="37" customWidth="1"/>
    <col min="12" max="32" width="9.44140625" style="37" customWidth="1"/>
    <col min="33" max="16384" width="8.88671875" style="37"/>
  </cols>
  <sheetData>
    <row r="1" spans="1:32" x14ac:dyDescent="0.25">
      <c r="A1" s="39" t="s">
        <v>278</v>
      </c>
    </row>
    <row r="2" spans="1:32" ht="27" customHeight="1" x14ac:dyDescent="0.25">
      <c r="A2" s="185" t="s">
        <v>279</v>
      </c>
      <c r="B2" s="97">
        <v>0.4</v>
      </c>
    </row>
    <row r="3" spans="1:32" x14ac:dyDescent="0.25">
      <c r="A3" s="78"/>
      <c r="B3" s="456" t="s">
        <v>116</v>
      </c>
      <c r="C3" s="457"/>
      <c r="D3" s="457"/>
      <c r="E3" s="457"/>
      <c r="F3" s="457"/>
      <c r="G3" s="457"/>
      <c r="H3" s="457"/>
      <c r="I3" s="457"/>
      <c r="J3" s="457"/>
      <c r="K3" s="457"/>
      <c r="L3" s="458" t="s">
        <v>157</v>
      </c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8"/>
      <c r="AA3" s="458"/>
      <c r="AB3" s="458"/>
      <c r="AC3" s="458"/>
      <c r="AD3" s="458"/>
      <c r="AE3" s="458"/>
      <c r="AF3" s="458"/>
    </row>
    <row r="4" spans="1:32" x14ac:dyDescent="0.25">
      <c r="A4" s="437" t="s">
        <v>182</v>
      </c>
      <c r="B4" s="436">
        <v>2035</v>
      </c>
      <c r="C4" s="436">
        <v>2034</v>
      </c>
      <c r="D4" s="436">
        <v>2033</v>
      </c>
      <c r="E4" s="436">
        <v>2032</v>
      </c>
      <c r="F4" s="436">
        <v>2031</v>
      </c>
      <c r="G4" s="436">
        <v>2030</v>
      </c>
      <c r="H4" s="436">
        <v>2029</v>
      </c>
      <c r="I4" s="436">
        <v>2028</v>
      </c>
      <c r="J4" s="436">
        <v>2027</v>
      </c>
      <c r="K4" s="436">
        <v>2026</v>
      </c>
      <c r="L4" s="328">
        <v>2025</v>
      </c>
      <c r="M4" s="328">
        <v>2024</v>
      </c>
      <c r="N4" s="328">
        <v>2023</v>
      </c>
      <c r="O4" s="328">
        <v>2022</v>
      </c>
      <c r="P4" s="328">
        <v>2021</v>
      </c>
      <c r="Q4" s="328">
        <v>2020</v>
      </c>
      <c r="R4" s="328">
        <v>2019</v>
      </c>
      <c r="S4" s="328">
        <v>2018</v>
      </c>
      <c r="T4" s="328">
        <v>2017</v>
      </c>
      <c r="U4" s="328">
        <v>2016</v>
      </c>
      <c r="V4" s="328">
        <v>2015</v>
      </c>
      <c r="W4" s="328">
        <v>2014</v>
      </c>
      <c r="X4" s="328">
        <v>2013</v>
      </c>
      <c r="Y4" s="328">
        <v>2012</v>
      </c>
      <c r="Z4" s="328">
        <v>2011</v>
      </c>
      <c r="AA4" s="328">
        <v>2010</v>
      </c>
      <c r="AB4" s="328">
        <v>2009</v>
      </c>
      <c r="AC4" s="328">
        <v>2008</v>
      </c>
      <c r="AD4" s="328">
        <v>2007</v>
      </c>
      <c r="AE4" s="328">
        <v>2006</v>
      </c>
      <c r="AF4" s="328">
        <v>2005</v>
      </c>
    </row>
    <row r="5" spans="1:32" x14ac:dyDescent="0.25">
      <c r="A5" s="435" t="s">
        <v>280</v>
      </c>
      <c r="B5" s="360">
        <f t="shared" ref="B5:K5" si="0">FORECAST(B4,$L$5:$N$5,$L$4:$N$4)</f>
        <v>32883.349999999627</v>
      </c>
      <c r="C5" s="360">
        <f t="shared" si="0"/>
        <v>31453.399999999907</v>
      </c>
      <c r="D5" s="360">
        <f t="shared" si="0"/>
        <v>30023.449999999721</v>
      </c>
      <c r="E5" s="360">
        <f t="shared" si="0"/>
        <v>28593.499999999534</v>
      </c>
      <c r="F5" s="360">
        <f t="shared" si="0"/>
        <v>27163.549999999814</v>
      </c>
      <c r="G5" s="360">
        <f t="shared" si="0"/>
        <v>25733.599999999627</v>
      </c>
      <c r="H5" s="360">
        <f t="shared" si="0"/>
        <v>24303.649999999907</v>
      </c>
      <c r="I5" s="360">
        <f t="shared" si="0"/>
        <v>22873.699999999721</v>
      </c>
      <c r="J5" s="360">
        <f t="shared" si="0"/>
        <v>21443.749999999534</v>
      </c>
      <c r="K5" s="434">
        <f t="shared" si="0"/>
        <v>20013.799999999814</v>
      </c>
      <c r="L5" s="163">
        <v>18795.3</v>
      </c>
      <c r="M5" s="163">
        <v>16731</v>
      </c>
      <c r="N5" s="163">
        <v>15935.4</v>
      </c>
      <c r="O5" s="163">
        <v>15908.6</v>
      </c>
      <c r="P5" s="163">
        <v>16273.7</v>
      </c>
      <c r="Q5" s="163">
        <v>14310.6</v>
      </c>
      <c r="R5" s="163">
        <v>9914.7999999999993</v>
      </c>
      <c r="S5" s="163">
        <v>8937.4</v>
      </c>
      <c r="T5" s="163">
        <v>8734.4</v>
      </c>
      <c r="U5" s="163">
        <v>8199.4</v>
      </c>
      <c r="V5" s="163">
        <v>7519.8</v>
      </c>
      <c r="W5" s="163">
        <v>5872.4</v>
      </c>
      <c r="X5" s="163">
        <v>5043.8999999999996</v>
      </c>
      <c r="Y5" s="163">
        <v>4066.1</v>
      </c>
      <c r="Z5" s="163">
        <v>3488.8</v>
      </c>
      <c r="AA5" s="163">
        <v>3258</v>
      </c>
      <c r="AB5" s="163">
        <v>2920.2</v>
      </c>
      <c r="AC5" s="163">
        <v>2378.5</v>
      </c>
      <c r="AD5" s="163">
        <v>2019.5</v>
      </c>
      <c r="AE5" s="163">
        <v>1839.5</v>
      </c>
      <c r="AF5" s="163">
        <v>1680.4</v>
      </c>
    </row>
    <row r="6" spans="1:32" x14ac:dyDescent="0.25">
      <c r="A6" s="435" t="s">
        <v>281</v>
      </c>
      <c r="B6" s="433">
        <f t="shared" ref="B6:AF6" si="1">$B$2*B5</f>
        <v>13153.339999999851</v>
      </c>
      <c r="C6" s="433">
        <f t="shared" si="1"/>
        <v>12581.359999999964</v>
      </c>
      <c r="D6" s="433">
        <f t="shared" si="1"/>
        <v>12009.379999999888</v>
      </c>
      <c r="E6" s="433">
        <f t="shared" si="1"/>
        <v>11437.399999999814</v>
      </c>
      <c r="F6" s="433">
        <f t="shared" si="1"/>
        <v>10865.419999999925</v>
      </c>
      <c r="G6" s="433">
        <f t="shared" si="1"/>
        <v>10293.439999999851</v>
      </c>
      <c r="H6" s="433">
        <f t="shared" si="1"/>
        <v>9721.4599999999627</v>
      </c>
      <c r="I6" s="433">
        <f t="shared" si="1"/>
        <v>9149.4799999998886</v>
      </c>
      <c r="J6" s="433">
        <f t="shared" si="1"/>
        <v>8577.4999999998145</v>
      </c>
      <c r="K6" s="433">
        <f t="shared" si="1"/>
        <v>8005.5199999999259</v>
      </c>
      <c r="L6" s="163">
        <f t="shared" si="1"/>
        <v>7518.12</v>
      </c>
      <c r="M6" s="163">
        <f t="shared" si="1"/>
        <v>6692.4000000000005</v>
      </c>
      <c r="N6" s="163">
        <f t="shared" si="1"/>
        <v>6374.16</v>
      </c>
      <c r="O6" s="163">
        <f t="shared" si="1"/>
        <v>6363.4400000000005</v>
      </c>
      <c r="P6" s="163">
        <f t="shared" si="1"/>
        <v>6509.4800000000005</v>
      </c>
      <c r="Q6" s="163">
        <f t="shared" si="1"/>
        <v>5724.2400000000007</v>
      </c>
      <c r="R6" s="163">
        <f t="shared" si="1"/>
        <v>3965.92</v>
      </c>
      <c r="S6" s="163">
        <f t="shared" si="1"/>
        <v>3574.96</v>
      </c>
      <c r="T6" s="163">
        <f t="shared" si="1"/>
        <v>3493.76</v>
      </c>
      <c r="U6" s="163">
        <f t="shared" si="1"/>
        <v>3279.76</v>
      </c>
      <c r="V6" s="163">
        <f t="shared" si="1"/>
        <v>3007.92</v>
      </c>
      <c r="W6" s="163">
        <f t="shared" si="1"/>
        <v>2348.96</v>
      </c>
      <c r="X6" s="163">
        <f t="shared" si="1"/>
        <v>2017.56</v>
      </c>
      <c r="Y6" s="163">
        <f t="shared" si="1"/>
        <v>1626.44</v>
      </c>
      <c r="Z6" s="163">
        <f t="shared" si="1"/>
        <v>1395.5200000000002</v>
      </c>
      <c r="AA6" s="163">
        <f t="shared" si="1"/>
        <v>1303.2</v>
      </c>
      <c r="AB6" s="163">
        <f t="shared" si="1"/>
        <v>1168.08</v>
      </c>
      <c r="AC6" s="163">
        <f t="shared" si="1"/>
        <v>951.40000000000009</v>
      </c>
      <c r="AD6" s="163">
        <f t="shared" si="1"/>
        <v>807.80000000000007</v>
      </c>
      <c r="AE6" s="163">
        <f t="shared" si="1"/>
        <v>735.80000000000007</v>
      </c>
      <c r="AF6" s="163">
        <f t="shared" si="1"/>
        <v>672.16000000000008</v>
      </c>
    </row>
    <row r="7" spans="1:32" x14ac:dyDescent="0.25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 spans="1:32" x14ac:dyDescent="0.25">
      <c r="A8" s="78" t="s">
        <v>282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 spans="1:32" x14ac:dyDescent="0.25">
      <c r="A9" s="78" t="s">
        <v>282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 spans="1:32" x14ac:dyDescent="0.25">
      <c r="A10" s="78" t="s">
        <v>282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 spans="1:32" x14ac:dyDescent="0.25">
      <c r="A11" s="78" t="s">
        <v>282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 spans="1:32" x14ac:dyDescent="0.25">
      <c r="A12" s="37" t="s">
        <v>282</v>
      </c>
    </row>
    <row r="13" spans="1:32" x14ac:dyDescent="0.25">
      <c r="I13" s="37" t="s">
        <v>283</v>
      </c>
    </row>
  </sheetData>
  <mergeCells count="2">
    <mergeCell ref="B3:K3"/>
    <mergeCell ref="L3:AF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CB5F-7E51-4353-9BC5-28ADD1F7EC19}">
  <dimension ref="A1:V20"/>
  <sheetViews>
    <sheetView showGridLines="0" workbookViewId="0"/>
  </sheetViews>
  <sheetFormatPr defaultColWidth="12.44140625" defaultRowHeight="13.2" x14ac:dyDescent="0.25"/>
  <cols>
    <col min="1" max="1" width="39.44140625" style="37" customWidth="1"/>
    <col min="2" max="2" width="14.33203125" style="37" customWidth="1"/>
    <col min="3" max="16384" width="12.44140625" style="37"/>
  </cols>
  <sheetData>
    <row r="1" spans="1:22" x14ac:dyDescent="0.25">
      <c r="A1" s="153" t="s">
        <v>284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22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22" x14ac:dyDescent="0.25">
      <c r="A3" s="176" t="s">
        <v>285</v>
      </c>
      <c r="B3" s="329">
        <v>2014</v>
      </c>
      <c r="C3" s="329">
        <v>2015</v>
      </c>
      <c r="D3" s="329">
        <v>2016</v>
      </c>
      <c r="E3" s="329">
        <v>2017</v>
      </c>
      <c r="F3" s="329">
        <v>2018</v>
      </c>
      <c r="G3" s="329">
        <v>2019</v>
      </c>
      <c r="H3" s="329">
        <v>2020</v>
      </c>
      <c r="I3" s="329">
        <v>2021</v>
      </c>
      <c r="J3" s="329">
        <v>2022</v>
      </c>
      <c r="K3" s="329">
        <v>2023</v>
      </c>
      <c r="L3" s="329">
        <v>2024</v>
      </c>
      <c r="M3" s="329">
        <v>2025</v>
      </c>
    </row>
    <row r="4" spans="1:22" x14ac:dyDescent="0.25">
      <c r="A4" s="177" t="s">
        <v>71</v>
      </c>
      <c r="B4" s="330">
        <v>84.7</v>
      </c>
      <c r="C4" s="330">
        <v>84.6</v>
      </c>
      <c r="D4" s="330">
        <v>85.5</v>
      </c>
      <c r="E4" s="330">
        <v>87.6</v>
      </c>
      <c r="F4" s="330">
        <v>89.436000000000007</v>
      </c>
      <c r="G4" s="330">
        <v>90.5</v>
      </c>
      <c r="H4" s="330">
        <v>89.1</v>
      </c>
      <c r="I4" s="330">
        <v>90.1</v>
      </c>
      <c r="J4" s="330">
        <v>92.1</v>
      </c>
      <c r="K4" s="330">
        <v>96.2</v>
      </c>
      <c r="L4" s="330">
        <v>100</v>
      </c>
      <c r="M4" s="330">
        <v>102.7</v>
      </c>
    </row>
    <row r="5" spans="1:22" x14ac:dyDescent="0.25">
      <c r="A5" s="156" t="s">
        <v>286</v>
      </c>
      <c r="B5" s="331" t="s">
        <v>282</v>
      </c>
      <c r="C5" s="168">
        <f>(C4-B4)/B4</f>
        <v>-1.1806375442740085E-3</v>
      </c>
      <c r="D5" s="168">
        <f t="shared" ref="D5:M5" si="0">(D4-C4)/C4</f>
        <v>1.0638297872340493E-2</v>
      </c>
      <c r="E5" s="168">
        <f t="shared" si="0"/>
        <v>2.4561403508771864E-2</v>
      </c>
      <c r="F5" s="168">
        <f t="shared" si="0"/>
        <v>2.0958904109589189E-2</v>
      </c>
      <c r="G5" s="168">
        <f t="shared" si="0"/>
        <v>1.1896775347734614E-2</v>
      </c>
      <c r="H5" s="168">
        <f t="shared" si="0"/>
        <v>-1.5469613259668571E-2</v>
      </c>
      <c r="I5" s="168">
        <f t="shared" si="0"/>
        <v>1.1223344556677891E-2</v>
      </c>
      <c r="J5" s="168">
        <f t="shared" si="0"/>
        <v>2.2197558268590458E-2</v>
      </c>
      <c r="K5" s="168">
        <f t="shared" si="0"/>
        <v>4.4516829533116274E-2</v>
      </c>
      <c r="L5" s="168">
        <f t="shared" si="0"/>
        <v>3.9501039501039469E-2</v>
      </c>
      <c r="M5" s="168">
        <f t="shared" si="0"/>
        <v>2.7000000000000027E-2</v>
      </c>
    </row>
    <row r="6" spans="1:22" x14ac:dyDescent="0.25">
      <c r="A6" s="78"/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</row>
    <row r="7" spans="1:22" x14ac:dyDescent="0.25">
      <c r="A7" s="176" t="s">
        <v>287</v>
      </c>
      <c r="B7" s="329">
        <v>2026</v>
      </c>
      <c r="C7" s="329">
        <v>2027</v>
      </c>
      <c r="D7" s="329">
        <v>2028</v>
      </c>
      <c r="E7" s="329">
        <v>2029</v>
      </c>
      <c r="F7" s="329">
        <v>2030</v>
      </c>
      <c r="G7" s="329">
        <v>2031</v>
      </c>
      <c r="H7" s="329">
        <v>2032</v>
      </c>
      <c r="I7" s="329">
        <v>2033</v>
      </c>
      <c r="J7" s="329">
        <v>2034</v>
      </c>
      <c r="K7" s="329">
        <v>2035</v>
      </c>
      <c r="L7" s="326"/>
      <c r="M7" s="326"/>
    </row>
    <row r="8" spans="1:22" x14ac:dyDescent="0.25">
      <c r="A8" s="156" t="s">
        <v>286</v>
      </c>
      <c r="B8" s="332">
        <f t="shared" ref="B8:J8" si="1">FORECAST(B7,$C$5:$M$5,$C$3:$M$3)</f>
        <v>3.5150771617781906E-2</v>
      </c>
      <c r="C8" s="332">
        <f t="shared" si="1"/>
        <v>3.804190170720112E-2</v>
      </c>
      <c r="D8" s="332">
        <f t="shared" si="1"/>
        <v>4.0933031796621222E-2</v>
      </c>
      <c r="E8" s="332">
        <f t="shared" si="1"/>
        <v>4.3824161886040436E-2</v>
      </c>
      <c r="F8" s="332">
        <f t="shared" si="1"/>
        <v>4.671529197545965E-2</v>
      </c>
      <c r="G8" s="332">
        <f t="shared" si="1"/>
        <v>4.9606422064879752E-2</v>
      </c>
      <c r="H8" s="332">
        <f t="shared" si="1"/>
        <v>5.2497552154298965E-2</v>
      </c>
      <c r="I8" s="332">
        <f t="shared" si="1"/>
        <v>5.5388682243718179E-2</v>
      </c>
      <c r="J8" s="332">
        <f t="shared" si="1"/>
        <v>5.8279812333137393E-2</v>
      </c>
      <c r="K8" s="332">
        <f>FORECAST(K7,$C$5:$M$5,$C$3:$M$3)</f>
        <v>6.1170942422557495E-2</v>
      </c>
      <c r="L8" s="326"/>
      <c r="M8" s="326"/>
      <c r="N8" s="78"/>
      <c r="O8" s="78"/>
      <c r="P8" s="78"/>
      <c r="Q8" s="78"/>
      <c r="R8" s="78"/>
      <c r="S8" s="78"/>
      <c r="T8" s="78"/>
      <c r="U8" s="78"/>
      <c r="V8" s="78"/>
    </row>
    <row r="9" spans="1:22" x14ac:dyDescent="0.25">
      <c r="A9" s="78" t="s">
        <v>282</v>
      </c>
      <c r="B9" s="326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</row>
    <row r="10" spans="1:22" x14ac:dyDescent="0.25">
      <c r="A10" s="153" t="s">
        <v>288</v>
      </c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</row>
    <row r="11" spans="1:22" x14ac:dyDescent="0.25">
      <c r="A11" s="178" t="s">
        <v>289</v>
      </c>
      <c r="B11" s="179">
        <f>'M2 BOR &amp; Tradeoff analysis'!E27</f>
        <v>3793201.7053316659</v>
      </c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</row>
    <row r="12" spans="1:22" x14ac:dyDescent="0.25">
      <c r="A12" s="180" t="s">
        <v>290</v>
      </c>
      <c r="B12" s="181">
        <f>'M3 Healthcare Budget'!L6</f>
        <v>7518.12</v>
      </c>
      <c r="C12" s="326"/>
      <c r="D12" s="326" t="s">
        <v>282</v>
      </c>
      <c r="E12" s="326"/>
      <c r="F12" s="326"/>
      <c r="G12" s="326"/>
      <c r="H12" s="326"/>
      <c r="I12" s="326"/>
      <c r="J12" s="326"/>
      <c r="K12" s="326"/>
      <c r="L12" s="98"/>
      <c r="M12" s="98"/>
    </row>
    <row r="13" spans="1:22" x14ac:dyDescent="0.25">
      <c r="A13" s="182" t="s">
        <v>291</v>
      </c>
      <c r="B13" s="183">
        <f>B12/B11</f>
        <v>1.9819984762298945E-3</v>
      </c>
      <c r="C13" s="326"/>
      <c r="D13" s="326"/>
      <c r="E13" s="326"/>
      <c r="F13" s="326"/>
      <c r="G13" s="326"/>
      <c r="H13" s="326"/>
      <c r="I13" s="326"/>
      <c r="J13" s="326"/>
      <c r="K13" s="326"/>
      <c r="L13" s="98"/>
      <c r="M13" s="98"/>
    </row>
    <row r="14" spans="1:22" x14ac:dyDescent="0.25">
      <c r="A14" s="78"/>
      <c r="B14" s="326"/>
      <c r="C14" s="333"/>
      <c r="D14" s="326"/>
      <c r="E14" s="326"/>
      <c r="F14" s="326"/>
      <c r="G14" s="326"/>
      <c r="H14" s="326"/>
      <c r="I14" s="326"/>
      <c r="J14" s="326"/>
      <c r="K14" s="326"/>
      <c r="L14" s="98"/>
      <c r="M14" s="98"/>
    </row>
    <row r="15" spans="1:22" x14ac:dyDescent="0.25">
      <c r="A15" s="153" t="s">
        <v>292</v>
      </c>
      <c r="B15" s="326" t="s">
        <v>282</v>
      </c>
      <c r="C15" s="326"/>
      <c r="D15" s="326"/>
      <c r="E15" s="326"/>
      <c r="F15" s="326"/>
      <c r="G15" s="326"/>
      <c r="H15" s="326"/>
      <c r="I15" s="326"/>
      <c r="J15" s="326"/>
      <c r="K15" s="326"/>
      <c r="L15" s="98"/>
      <c r="M15" s="98"/>
    </row>
    <row r="16" spans="1:22" x14ac:dyDescent="0.25">
      <c r="A16" s="154" t="s">
        <v>182</v>
      </c>
      <c r="B16" s="184">
        <v>2026</v>
      </c>
      <c r="C16" s="159">
        <v>2027</v>
      </c>
      <c r="D16" s="159">
        <v>2028</v>
      </c>
      <c r="E16" s="159">
        <v>2029</v>
      </c>
      <c r="F16" s="159">
        <v>2030</v>
      </c>
      <c r="G16" s="159">
        <v>2031</v>
      </c>
      <c r="H16" s="159">
        <v>2032</v>
      </c>
      <c r="I16" s="159">
        <v>2033</v>
      </c>
      <c r="J16" s="159">
        <v>2034</v>
      </c>
      <c r="K16" s="159">
        <v>2035</v>
      </c>
      <c r="L16" s="98"/>
      <c r="M16" s="98"/>
    </row>
    <row r="17" spans="1:13" x14ac:dyDescent="0.25">
      <c r="A17" s="169" t="s">
        <v>289</v>
      </c>
      <c r="B17" s="334">
        <f>'M2 BOR &amp; Tradeoff analysis'!E28</f>
        <v>3887356.8409860027</v>
      </c>
      <c r="C17" s="335">
        <f>'M2 BOR &amp; Tradeoff analysis'!E29</f>
        <v>3974229.0888184737</v>
      </c>
      <c r="D17" s="335">
        <f>'M2 BOR &amp; Tradeoff analysis'!E30</f>
        <v>4054403.993571402</v>
      </c>
      <c r="E17" s="335">
        <f>'M2 BOR &amp; Tradeoff analysis'!E31</f>
        <v>4128223.4245898258</v>
      </c>
      <c r="F17" s="335">
        <f>'M2 BOR &amp; Tradeoff analysis'!E32</f>
        <v>4195900.9788704524</v>
      </c>
      <c r="G17" s="335">
        <f>'M2 BOR &amp; Tradeoff analysis'!E33</f>
        <v>4257593.4319120822</v>
      </c>
      <c r="H17" s="335">
        <f>'M2 BOR &amp; Tradeoff analysis'!E34</f>
        <v>4313443.2751853168</v>
      </c>
      <c r="I17" s="335">
        <f>'M2 BOR &amp; Tradeoff analysis'!E35</f>
        <v>4363601.9699743222</v>
      </c>
      <c r="J17" s="335">
        <f>'M2 BOR &amp; Tradeoff analysis'!E36</f>
        <v>4408240.4612628492</v>
      </c>
      <c r="K17" s="335">
        <f>'M2 BOR &amp; Tradeoff analysis'!E37</f>
        <v>4447551.4966628812</v>
      </c>
      <c r="L17" s="326"/>
      <c r="M17" s="326"/>
    </row>
    <row r="18" spans="1:13" x14ac:dyDescent="0.25">
      <c r="A18" s="169" t="s">
        <v>293</v>
      </c>
      <c r="B18" s="161">
        <f t="shared" ref="B18:J18" si="2">B8</f>
        <v>3.5150771617781906E-2</v>
      </c>
      <c r="C18" s="161">
        <f t="shared" si="2"/>
        <v>3.804190170720112E-2</v>
      </c>
      <c r="D18" s="161">
        <f t="shared" si="2"/>
        <v>4.0933031796621222E-2</v>
      </c>
      <c r="E18" s="161">
        <f t="shared" si="2"/>
        <v>4.3824161886040436E-2</v>
      </c>
      <c r="F18" s="161">
        <f t="shared" si="2"/>
        <v>4.671529197545965E-2</v>
      </c>
      <c r="G18" s="161">
        <f t="shared" si="2"/>
        <v>4.9606422064879752E-2</v>
      </c>
      <c r="H18" s="161">
        <f t="shared" si="2"/>
        <v>5.2497552154298965E-2</v>
      </c>
      <c r="I18" s="161">
        <f t="shared" si="2"/>
        <v>5.5388682243718179E-2</v>
      </c>
      <c r="J18" s="161">
        <f t="shared" si="2"/>
        <v>5.8279812333137393E-2</v>
      </c>
      <c r="K18" s="161">
        <f>K8</f>
        <v>6.1170942422557495E-2</v>
      </c>
      <c r="L18" s="98"/>
      <c r="M18" s="98"/>
    </row>
    <row r="19" spans="1:13" x14ac:dyDescent="0.25">
      <c r="A19" s="169" t="s">
        <v>294</v>
      </c>
      <c r="B19" s="336">
        <f>(B13*B17)*(1+B18)</f>
        <v>7975.5627275460765</v>
      </c>
      <c r="C19" s="337">
        <f t="shared" ref="C19:J19" si="3">(B19/B17)*(1+C18)*C17</f>
        <v>8463.9815670859953</v>
      </c>
      <c r="D19" s="337">
        <f t="shared" si="3"/>
        <v>8988.1771252850194</v>
      </c>
      <c r="E19" s="337">
        <f t="shared" si="3"/>
        <v>9552.8979975677175</v>
      </c>
      <c r="F19" s="337">
        <f t="shared" si="3"/>
        <v>10163.089408911366</v>
      </c>
      <c r="G19" s="337">
        <f t="shared" si="3"/>
        <v>10824.084706334916</v>
      </c>
      <c r="H19" s="337">
        <f t="shared" si="3"/>
        <v>11541.76375517626</v>
      </c>
      <c r="I19" s="337">
        <f t="shared" si="3"/>
        <v>12322.69363426137</v>
      </c>
      <c r="J19" s="337">
        <f t="shared" si="3"/>
        <v>13174.262425739587</v>
      </c>
      <c r="K19" s="337">
        <f>(J19/J17)*(1+K18)*K17</f>
        <v>14104.814160089212</v>
      </c>
      <c r="L19" s="98"/>
      <c r="M19" s="98"/>
    </row>
    <row r="20" spans="1:13" x14ac:dyDescent="0.25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CCEA-3EEF-4E19-8FD3-E41BED78BE7B}">
  <dimension ref="B1:M47"/>
  <sheetViews>
    <sheetView showGridLines="0" workbookViewId="0">
      <selection activeCell="B1" sqref="B1"/>
    </sheetView>
  </sheetViews>
  <sheetFormatPr defaultColWidth="8.88671875" defaultRowHeight="12.75" customHeight="1" x14ac:dyDescent="0.25"/>
  <cols>
    <col min="1" max="1" width="3.44140625" style="37" customWidth="1"/>
    <col min="2" max="2" width="38.44140625" style="37" customWidth="1"/>
    <col min="3" max="13" width="13.109375" style="37" customWidth="1"/>
    <col min="14" max="16384" width="8.88671875" style="37"/>
  </cols>
  <sheetData>
    <row r="1" spans="2:13" ht="12.75" customHeight="1" x14ac:dyDescent="0.25">
      <c r="B1" s="153" t="s">
        <v>295</v>
      </c>
      <c r="C1" s="153"/>
      <c r="D1" s="153"/>
      <c r="E1" s="153"/>
      <c r="F1" s="78"/>
      <c r="G1" s="78"/>
      <c r="H1" s="78"/>
      <c r="I1" s="78"/>
    </row>
    <row r="2" spans="2:13" ht="12.75" customHeight="1" x14ac:dyDescent="0.25">
      <c r="B2" s="78" t="s">
        <v>296</v>
      </c>
      <c r="C2" s="78"/>
      <c r="D2" s="78"/>
      <c r="E2" s="78"/>
      <c r="F2" s="78"/>
      <c r="G2" s="78" t="s">
        <v>283</v>
      </c>
      <c r="H2" s="78"/>
      <c r="I2" s="78"/>
    </row>
    <row r="3" spans="2:13" ht="12.75" customHeight="1" x14ac:dyDescent="0.25">
      <c r="B3" s="154" t="s">
        <v>297</v>
      </c>
      <c r="C3" s="155">
        <v>2025</v>
      </c>
      <c r="D3" s="78"/>
      <c r="E3" s="78"/>
      <c r="F3" s="78"/>
      <c r="G3" s="78"/>
      <c r="H3" s="78"/>
      <c r="I3" s="78"/>
    </row>
    <row r="4" spans="2:13" ht="12.75" customHeight="1" x14ac:dyDescent="0.25">
      <c r="B4" s="156" t="s">
        <v>298</v>
      </c>
      <c r="C4" s="157">
        <f>'M2 BOR &amp; Tradeoff analysis'!E27</f>
        <v>3793201.7053316659</v>
      </c>
      <c r="D4" s="78"/>
      <c r="E4" s="78"/>
      <c r="F4" s="78"/>
      <c r="G4" s="78"/>
      <c r="H4" s="78"/>
      <c r="I4" s="78"/>
    </row>
    <row r="5" spans="2:13" ht="12.75" customHeight="1" x14ac:dyDescent="0.25">
      <c r="B5" s="156" t="s">
        <v>299</v>
      </c>
      <c r="C5" s="158">
        <f>'M3 Healthcare Costs'!B13</f>
        <v>1.9819984762298945E-3</v>
      </c>
      <c r="D5" s="78"/>
      <c r="E5" s="78"/>
      <c r="F5" s="78"/>
      <c r="G5" s="78"/>
      <c r="H5" s="78"/>
      <c r="I5" s="78"/>
    </row>
    <row r="6" spans="2:13" ht="12.75" customHeight="1" x14ac:dyDescent="0.25">
      <c r="B6" s="78"/>
      <c r="C6" s="78"/>
      <c r="D6" s="78"/>
      <c r="E6" s="78"/>
      <c r="F6" s="78"/>
      <c r="G6" s="78"/>
      <c r="H6" s="78"/>
      <c r="I6" s="78"/>
    </row>
    <row r="7" spans="2:13" ht="12.75" customHeight="1" x14ac:dyDescent="0.25">
      <c r="B7" s="154" t="s">
        <v>300</v>
      </c>
      <c r="C7" s="159">
        <v>2025</v>
      </c>
      <c r="D7" s="160">
        <v>2026</v>
      </c>
      <c r="E7" s="160">
        <v>2027</v>
      </c>
      <c r="F7" s="160">
        <v>2028</v>
      </c>
      <c r="G7" s="160">
        <v>2029</v>
      </c>
      <c r="H7" s="160">
        <v>2030</v>
      </c>
      <c r="I7" s="160">
        <v>2031</v>
      </c>
      <c r="J7" s="160">
        <v>2032</v>
      </c>
      <c r="K7" s="160">
        <v>2033</v>
      </c>
      <c r="L7" s="160">
        <v>2034</v>
      </c>
      <c r="M7" s="160">
        <v>2035</v>
      </c>
    </row>
    <row r="8" spans="2:13" ht="12.75" customHeight="1" x14ac:dyDescent="0.25">
      <c r="B8" s="161">
        <v>0.01</v>
      </c>
      <c r="C8" s="162">
        <f>$C$10</f>
        <v>7518.12</v>
      </c>
      <c r="D8" s="163">
        <f t="shared" ref="D8:D16" si="0">$C$4*$C$5*(1+$B8)^1</f>
        <v>7593.301199999999</v>
      </c>
      <c r="E8" s="163">
        <f t="shared" ref="E8:E16" si="1">$C$4*$C$5*(1+$B8)^2</f>
        <v>7669.2342119999994</v>
      </c>
      <c r="F8" s="163">
        <f t="shared" ref="F8:F16" si="2">$C$4*$C$5*(1+$B8)^3</f>
        <v>7745.9265541199984</v>
      </c>
      <c r="G8" s="163">
        <f t="shared" ref="G8:G16" si="3">$C$4*$C$5*(1+$B8)^4</f>
        <v>7823.3858196611991</v>
      </c>
      <c r="H8" s="163">
        <f t="shared" ref="H8:H16" si="4">$C$4*$C$5*(1+$B8)^5</f>
        <v>7901.6196778578105</v>
      </c>
      <c r="I8" s="163">
        <f t="shared" ref="I8:I16" si="5">$C$4*$C$5*(1+$B8)^6</f>
        <v>7980.6358746363903</v>
      </c>
      <c r="J8" s="163">
        <f t="shared" ref="J8:J16" si="6">$C$4*$C$5*(1+$B8)^7</f>
        <v>8060.4422333827515</v>
      </c>
      <c r="K8" s="163">
        <f t="shared" ref="K8:K16" si="7">$C$4*$C$5*(1+$B8)^8</f>
        <v>8141.0466557165819</v>
      </c>
      <c r="L8" s="163">
        <f t="shared" ref="L8:L16" si="8">$C$4*$C$5*(1+$B8)^9</f>
        <v>8222.4571222737486</v>
      </c>
      <c r="M8" s="361">
        <f t="shared" ref="M8:M16" si="9">$C$4*$C$5*(1+$B8)^10</f>
        <v>8304.6816934964863</v>
      </c>
    </row>
    <row r="9" spans="2:13" ht="12.75" customHeight="1" x14ac:dyDescent="0.25">
      <c r="B9" s="161">
        <v>0.02</v>
      </c>
      <c r="C9" s="162">
        <f>$C$10</f>
        <v>7518.12</v>
      </c>
      <c r="D9" s="163">
        <f t="shared" si="0"/>
        <v>7668.482399999999</v>
      </c>
      <c r="E9" s="163">
        <f t="shared" si="1"/>
        <v>7821.8520479999988</v>
      </c>
      <c r="F9" s="163">
        <f t="shared" si="2"/>
        <v>7978.2890889599985</v>
      </c>
      <c r="G9" s="163">
        <f t="shared" si="3"/>
        <v>8137.8548707391983</v>
      </c>
      <c r="H9" s="163">
        <f t="shared" si="4"/>
        <v>8300.6119681539822</v>
      </c>
      <c r="I9" s="163">
        <f t="shared" si="5"/>
        <v>8466.624207517063</v>
      </c>
      <c r="J9" s="163">
        <f t="shared" si="6"/>
        <v>8635.956691667403</v>
      </c>
      <c r="K9" s="163">
        <f t="shared" si="7"/>
        <v>8808.6758255007517</v>
      </c>
      <c r="L9" s="163">
        <f t="shared" si="8"/>
        <v>8984.8493420107661</v>
      </c>
      <c r="M9" s="163">
        <f t="shared" si="9"/>
        <v>9164.5463288509818</v>
      </c>
    </row>
    <row r="10" spans="2:13" ht="12.75" customHeight="1" x14ac:dyDescent="0.25">
      <c r="B10" s="164">
        <v>2.7E-2</v>
      </c>
      <c r="C10" s="165">
        <f>'M3 Healthcare Budget'!L6</f>
        <v>7518.12</v>
      </c>
      <c r="D10" s="165">
        <f t="shared" si="0"/>
        <v>7721.109239999998</v>
      </c>
      <c r="E10" s="165">
        <f t="shared" si="1"/>
        <v>7929.5791894799977</v>
      </c>
      <c r="F10" s="165">
        <f t="shared" si="2"/>
        <v>8143.6778275959568</v>
      </c>
      <c r="G10" s="165">
        <f t="shared" si="3"/>
        <v>8363.5571289410473</v>
      </c>
      <c r="H10" s="165">
        <f t="shared" si="4"/>
        <v>8589.3731714224541</v>
      </c>
      <c r="I10" s="165">
        <f t="shared" si="5"/>
        <v>8821.2862470508589</v>
      </c>
      <c r="J10" s="165">
        <f t="shared" si="6"/>
        <v>9059.4609757212329</v>
      </c>
      <c r="K10" s="165">
        <f t="shared" si="7"/>
        <v>9304.0664220657036</v>
      </c>
      <c r="L10" s="165">
        <f t="shared" si="8"/>
        <v>9555.2762154614775</v>
      </c>
      <c r="M10" s="165">
        <f t="shared" si="9"/>
        <v>9813.2686732789371</v>
      </c>
    </row>
    <row r="11" spans="2:13" ht="12.75" customHeight="1" x14ac:dyDescent="0.25">
      <c r="B11" s="161">
        <v>0.03</v>
      </c>
      <c r="C11" s="162">
        <f t="shared" ref="C11:C16" si="10">$C$10</f>
        <v>7518.12</v>
      </c>
      <c r="D11" s="163">
        <f t="shared" si="0"/>
        <v>7743.663599999999</v>
      </c>
      <c r="E11" s="163">
        <f t="shared" si="1"/>
        <v>7975.9735079999982</v>
      </c>
      <c r="F11" s="163">
        <f t="shared" si="2"/>
        <v>8215.2527132399991</v>
      </c>
      <c r="G11" s="163">
        <f t="shared" si="3"/>
        <v>8461.7102946371979</v>
      </c>
      <c r="H11" s="163">
        <f t="shared" si="4"/>
        <v>8715.5616034763134</v>
      </c>
      <c r="I11" s="163">
        <f t="shared" si="5"/>
        <v>8977.0284515806034</v>
      </c>
      <c r="J11" s="163">
        <f t="shared" si="6"/>
        <v>9246.3393051280218</v>
      </c>
      <c r="K11" s="163">
        <f t="shared" si="7"/>
        <v>9523.729484281861</v>
      </c>
      <c r="L11" s="163">
        <f t="shared" si="8"/>
        <v>9809.4413688103177</v>
      </c>
      <c r="M11" s="163">
        <f t="shared" si="9"/>
        <v>10103.724609874627</v>
      </c>
    </row>
    <row r="12" spans="2:13" ht="12.75" customHeight="1" x14ac:dyDescent="0.25">
      <c r="B12" s="161">
        <v>0.04</v>
      </c>
      <c r="C12" s="162">
        <f t="shared" si="10"/>
        <v>7518.12</v>
      </c>
      <c r="D12" s="163">
        <f t="shared" si="0"/>
        <v>7818.8447999999989</v>
      </c>
      <c r="E12" s="163">
        <f t="shared" si="1"/>
        <v>8131.5985919999994</v>
      </c>
      <c r="F12" s="163">
        <f t="shared" si="2"/>
        <v>8456.8625356800003</v>
      </c>
      <c r="G12" s="163">
        <f t="shared" si="3"/>
        <v>8795.1370371072007</v>
      </c>
      <c r="H12" s="163">
        <f t="shared" si="4"/>
        <v>9146.9425185914897</v>
      </c>
      <c r="I12" s="163">
        <f t="shared" si="5"/>
        <v>9512.8202193351499</v>
      </c>
      <c r="J12" s="163">
        <f t="shared" si="6"/>
        <v>9893.3330281085546</v>
      </c>
      <c r="K12" s="163">
        <f t="shared" si="7"/>
        <v>10289.066349232899</v>
      </c>
      <c r="L12" s="163">
        <f t="shared" si="8"/>
        <v>10700.629003202215</v>
      </c>
      <c r="M12" s="163">
        <f t="shared" si="9"/>
        <v>11128.654163330304</v>
      </c>
    </row>
    <row r="13" spans="2:13" ht="12.75" customHeight="1" x14ac:dyDescent="0.25">
      <c r="B13" s="161">
        <v>0.05</v>
      </c>
      <c r="C13" s="162">
        <f t="shared" si="10"/>
        <v>7518.12</v>
      </c>
      <c r="D13" s="163">
        <f t="shared" si="0"/>
        <v>7894.0259999999989</v>
      </c>
      <c r="E13" s="163">
        <f t="shared" si="1"/>
        <v>8288.7272999999986</v>
      </c>
      <c r="F13" s="163">
        <f t="shared" si="2"/>
        <v>8703.163665</v>
      </c>
      <c r="G13" s="163">
        <f t="shared" si="3"/>
        <v>9138.3218482499997</v>
      </c>
      <c r="H13" s="163">
        <f t="shared" si="4"/>
        <v>9595.2379406625005</v>
      </c>
      <c r="I13" s="163">
        <f t="shared" si="5"/>
        <v>10074.999837695623</v>
      </c>
      <c r="J13" s="163">
        <f t="shared" si="6"/>
        <v>10578.749829580407</v>
      </c>
      <c r="K13" s="163">
        <f t="shared" si="7"/>
        <v>11107.687321059426</v>
      </c>
      <c r="L13" s="163">
        <f t="shared" si="8"/>
        <v>11663.071687112397</v>
      </c>
      <c r="M13" s="163">
        <f t="shared" si="9"/>
        <v>12246.225271468018</v>
      </c>
    </row>
    <row r="14" spans="2:13" ht="12.75" customHeight="1" x14ac:dyDescent="0.25">
      <c r="B14" s="161">
        <v>0.06</v>
      </c>
      <c r="C14" s="162">
        <f t="shared" si="10"/>
        <v>7518.12</v>
      </c>
      <c r="D14" s="163">
        <f t="shared" si="0"/>
        <v>7969.2071999999989</v>
      </c>
      <c r="E14" s="163">
        <f t="shared" si="1"/>
        <v>8447.3596319999997</v>
      </c>
      <c r="F14" s="163">
        <f t="shared" si="2"/>
        <v>8954.2012099200001</v>
      </c>
      <c r="G14" s="163">
        <f t="shared" si="3"/>
        <v>9491.4532825152019</v>
      </c>
      <c r="H14" s="163">
        <f t="shared" si="4"/>
        <v>10060.940479466115</v>
      </c>
      <c r="I14" s="163">
        <f t="shared" si="5"/>
        <v>10664.596908234082</v>
      </c>
      <c r="J14" s="163">
        <f t="shared" si="6"/>
        <v>11304.472722728127</v>
      </c>
      <c r="K14" s="163">
        <f t="shared" si="7"/>
        <v>11982.741086091815</v>
      </c>
      <c r="L14" s="163">
        <f t="shared" si="8"/>
        <v>12701.705551257324</v>
      </c>
      <c r="M14" s="163">
        <f t="shared" si="9"/>
        <v>13463.807884332764</v>
      </c>
    </row>
    <row r="15" spans="2:13" ht="12.75" customHeight="1" x14ac:dyDescent="0.25">
      <c r="B15" s="161">
        <v>7.0000000000000007E-2</v>
      </c>
      <c r="C15" s="162">
        <f t="shared" si="10"/>
        <v>7518.12</v>
      </c>
      <c r="D15" s="163">
        <f t="shared" si="0"/>
        <v>8044.3883999999998</v>
      </c>
      <c r="E15" s="163">
        <f t="shared" si="1"/>
        <v>8607.4955879999998</v>
      </c>
      <c r="F15" s="163">
        <f t="shared" si="2"/>
        <v>9210.0202791600004</v>
      </c>
      <c r="G15" s="163">
        <f t="shared" si="3"/>
        <v>9854.721698701198</v>
      </c>
      <c r="H15" s="163">
        <f t="shared" si="4"/>
        <v>10544.552217610284</v>
      </c>
      <c r="I15" s="163">
        <f t="shared" si="5"/>
        <v>11282.670872843002</v>
      </c>
      <c r="J15" s="163">
        <f t="shared" si="6"/>
        <v>12072.457833942013</v>
      </c>
      <c r="K15" s="163">
        <f t="shared" si="7"/>
        <v>12917.529882317955</v>
      </c>
      <c r="L15" s="163">
        <f t="shared" si="8"/>
        <v>13821.756974080214</v>
      </c>
      <c r="M15" s="163">
        <f t="shared" si="9"/>
        <v>14789.279962265828</v>
      </c>
    </row>
    <row r="16" spans="2:13" ht="12.75" customHeight="1" x14ac:dyDescent="0.25">
      <c r="B16" s="161">
        <v>0.08</v>
      </c>
      <c r="C16" s="162">
        <f t="shared" si="10"/>
        <v>7518.12</v>
      </c>
      <c r="D16" s="163">
        <f t="shared" si="0"/>
        <v>8119.5695999999998</v>
      </c>
      <c r="E16" s="163">
        <f t="shared" si="1"/>
        <v>8769.1351679999989</v>
      </c>
      <c r="F16" s="163">
        <f t="shared" si="2"/>
        <v>9470.6659814399991</v>
      </c>
      <c r="G16" s="163">
        <f t="shared" si="3"/>
        <v>10228.3192599552</v>
      </c>
      <c r="H16" s="163">
        <f t="shared" si="4"/>
        <v>11046.584800751616</v>
      </c>
      <c r="I16" s="163">
        <f t="shared" si="5"/>
        <v>11930.311584811749</v>
      </c>
      <c r="J16" s="163">
        <f t="shared" si="6"/>
        <v>12884.736511596688</v>
      </c>
      <c r="K16" s="163">
        <f t="shared" si="7"/>
        <v>13915.515432524424</v>
      </c>
      <c r="L16" s="163">
        <f t="shared" si="8"/>
        <v>15028.756667126378</v>
      </c>
      <c r="M16" s="361">
        <f t="shared" si="9"/>
        <v>16231.057200496489</v>
      </c>
    </row>
    <row r="17" spans="2:9" ht="12.75" customHeight="1" x14ac:dyDescent="0.25">
      <c r="B17" s="166"/>
      <c r="C17" s="167"/>
      <c r="D17" s="167"/>
      <c r="E17" s="167"/>
      <c r="F17" s="167"/>
      <c r="G17" s="167"/>
      <c r="H17" s="167"/>
    </row>
    <row r="18" spans="2:9" ht="12.75" customHeight="1" x14ac:dyDescent="0.25">
      <c r="B18" s="153" t="s">
        <v>301</v>
      </c>
      <c r="C18" s="153"/>
      <c r="D18" s="153"/>
      <c r="E18" s="153"/>
      <c r="F18" s="153"/>
      <c r="G18" s="78"/>
      <c r="H18" s="78"/>
      <c r="I18" s="78"/>
    </row>
    <row r="19" spans="2:9" ht="12.75" customHeight="1" x14ac:dyDescent="0.25">
      <c r="B19" s="154" t="s">
        <v>297</v>
      </c>
      <c r="C19" s="155">
        <v>2025</v>
      </c>
      <c r="D19" s="78"/>
      <c r="E19" s="78"/>
      <c r="F19" s="78"/>
      <c r="G19" s="78"/>
      <c r="H19" s="78"/>
      <c r="I19" s="78"/>
    </row>
    <row r="20" spans="2:9" ht="12.75" customHeight="1" x14ac:dyDescent="0.25">
      <c r="B20" s="156" t="s">
        <v>299</v>
      </c>
      <c r="C20" s="158">
        <f>C5</f>
        <v>1.9819984762298945E-3</v>
      </c>
      <c r="D20" s="78"/>
      <c r="E20" s="78"/>
      <c r="F20" s="78"/>
      <c r="G20" s="78"/>
      <c r="H20" s="78"/>
      <c r="I20" s="78"/>
    </row>
    <row r="21" spans="2:9" ht="12.75" customHeight="1" x14ac:dyDescent="0.25">
      <c r="B21" s="156" t="s">
        <v>300</v>
      </c>
      <c r="C21" s="168">
        <f>'M3 Healthcare Costs'!M5</f>
        <v>2.7000000000000027E-2</v>
      </c>
      <c r="D21" s="78"/>
      <c r="E21" s="78"/>
      <c r="F21" s="78"/>
      <c r="G21" s="78"/>
      <c r="H21" s="78"/>
      <c r="I21" s="78"/>
    </row>
    <row r="22" spans="2:9" ht="12.75" customHeight="1" x14ac:dyDescent="0.25">
      <c r="B22" s="78"/>
      <c r="C22" s="78"/>
      <c r="D22" s="78"/>
      <c r="E22" s="78"/>
      <c r="F22" s="78"/>
      <c r="G22" s="78"/>
      <c r="H22" s="78"/>
      <c r="I22" s="78"/>
    </row>
    <row r="23" spans="2:9" ht="12.75" customHeight="1" x14ac:dyDescent="0.25">
      <c r="B23" s="154" t="s">
        <v>302</v>
      </c>
      <c r="C23" s="159">
        <v>2025</v>
      </c>
      <c r="D23" s="159">
        <v>2030</v>
      </c>
      <c r="E23" s="159">
        <v>2035</v>
      </c>
      <c r="F23" s="159" t="s">
        <v>303</v>
      </c>
      <c r="G23" s="78"/>
      <c r="H23" s="78"/>
      <c r="I23" s="78"/>
    </row>
    <row r="24" spans="2:9" ht="12.75" customHeight="1" x14ac:dyDescent="0.25">
      <c r="B24" s="169" t="s">
        <v>304</v>
      </c>
      <c r="C24" s="157">
        <f>SUM('M1 Demand Driver'!B4:B7)*'M2 HAR'!L45</f>
        <v>79673.750508771729</v>
      </c>
      <c r="D24" s="157">
        <f>SUM('M1 Demand Driver'!G4:G7)*'M2 HAR'!G45</f>
        <v>76136.47355674766</v>
      </c>
      <c r="E24" s="157">
        <f>SUM('M1 Demand Driver'!L4:L7)*'M2 HAR'!B45</f>
        <v>72722.495538083545</v>
      </c>
      <c r="F24" s="170">
        <v>1</v>
      </c>
      <c r="G24" s="78"/>
      <c r="H24" s="78"/>
      <c r="I24" s="78"/>
    </row>
    <row r="25" spans="2:9" ht="12.75" customHeight="1" x14ac:dyDescent="0.25">
      <c r="B25" s="169" t="s">
        <v>305</v>
      </c>
      <c r="C25" s="157">
        <f>SUM('M1 Demand Driver'!B8:B17)*'M2 HAR'!L46</f>
        <v>256255.51861407937</v>
      </c>
      <c r="D25" s="157">
        <f>SUM('M1 Demand Driver'!G8:G17)*'M2 HAR'!G46</f>
        <v>261377.22004514313</v>
      </c>
      <c r="E25" s="157">
        <f>SUM('M1 Demand Driver'!L8:L17)*'M2 HAR'!B46</f>
        <v>262765.52885279321</v>
      </c>
      <c r="F25" s="170">
        <v>1</v>
      </c>
      <c r="G25" s="78"/>
      <c r="H25" s="78"/>
      <c r="I25" s="78"/>
    </row>
    <row r="26" spans="2:9" ht="12.75" customHeight="1" x14ac:dyDescent="0.25">
      <c r="B26" s="169" t="s">
        <v>306</v>
      </c>
      <c r="C26" s="157">
        <f>SUM('M1 Demand Driver'!B18:B23)*'M2 HAR'!L47</f>
        <v>265998.99393317895</v>
      </c>
      <c r="D26" s="157">
        <f>SUM('M1 Demand Driver'!G18:G23)*'M2 HAR'!G47</f>
        <v>315986.00021645369</v>
      </c>
      <c r="E26" s="157">
        <f>SUM('M1 Demand Driver'!L18:L23)*'M2 HAR'!B47</f>
        <v>349126.046102288</v>
      </c>
      <c r="F26" s="170" t="s">
        <v>307</v>
      </c>
      <c r="G26" s="78"/>
      <c r="H26" s="78"/>
      <c r="I26" s="78"/>
    </row>
    <row r="27" spans="2:9" ht="12.75" customHeight="1" x14ac:dyDescent="0.25">
      <c r="B27" s="78"/>
      <c r="C27" s="78"/>
      <c r="D27" s="78"/>
      <c r="E27" s="78"/>
      <c r="F27" s="78"/>
      <c r="G27" s="78"/>
      <c r="H27" s="78"/>
      <c r="I27" s="78"/>
    </row>
    <row r="28" spans="2:9" ht="12.75" customHeight="1" x14ac:dyDescent="0.25">
      <c r="B28" s="153" t="s">
        <v>308</v>
      </c>
      <c r="C28" s="78" t="s">
        <v>282</v>
      </c>
      <c r="D28" s="78" t="s">
        <v>282</v>
      </c>
      <c r="E28" s="78"/>
      <c r="F28" s="78"/>
      <c r="G28" s="78"/>
      <c r="H28" s="78"/>
      <c r="I28" s="78"/>
    </row>
    <row r="29" spans="2:9" ht="12.75" customHeight="1" x14ac:dyDescent="0.25">
      <c r="B29" s="171" t="s">
        <v>309</v>
      </c>
      <c r="C29" s="172" t="s">
        <v>310</v>
      </c>
      <c r="D29" s="78"/>
      <c r="E29" s="78"/>
      <c r="F29" s="78"/>
      <c r="G29" s="78"/>
      <c r="H29" s="78"/>
      <c r="I29" s="78"/>
    </row>
    <row r="30" spans="2:9" ht="12.75" customHeight="1" x14ac:dyDescent="0.25">
      <c r="B30" s="173">
        <v>1</v>
      </c>
      <c r="C30" s="174">
        <f>(C$24*$C$20)*$F$24+(C$25*$C$20)*$F$25+(C$26*$C$20)*B30</f>
        <v>1193.0209001767587</v>
      </c>
      <c r="D30" s="78"/>
      <c r="E30" s="78"/>
      <c r="F30" s="78"/>
      <c r="G30" s="78"/>
      <c r="H30" s="78"/>
      <c r="I30" s="78"/>
    </row>
    <row r="31" spans="2:9" ht="12.75" customHeight="1" x14ac:dyDescent="0.25">
      <c r="B31" s="173">
        <v>1.5</v>
      </c>
      <c r="C31" s="174">
        <f>(C$24*$C$20)*$F$24+(C$25*$C$20)*$F$25+(C$26*$C$20)*B31</f>
        <v>1456.6257005038815</v>
      </c>
      <c r="D31" s="78"/>
      <c r="E31" s="78"/>
      <c r="F31" s="78"/>
      <c r="G31" s="78"/>
      <c r="H31" s="78"/>
      <c r="I31" s="78"/>
    </row>
    <row r="32" spans="2:9" ht="12.75" customHeight="1" x14ac:dyDescent="0.25">
      <c r="B32" s="173">
        <v>2</v>
      </c>
      <c r="C32" s="174">
        <f>(C$24*$C$20)*$F$24+(C$25*$C$20)*$F$25+(C$26*$C$20)*B32</f>
        <v>1720.2305008310043</v>
      </c>
      <c r="D32" s="78"/>
      <c r="E32" s="78"/>
      <c r="F32" s="78"/>
      <c r="G32" s="78"/>
      <c r="H32" s="78"/>
      <c r="I32" s="78"/>
    </row>
    <row r="33" spans="2:9" ht="12.75" customHeight="1" x14ac:dyDescent="0.25">
      <c r="B33" s="173">
        <v>2.5</v>
      </c>
      <c r="C33" s="174">
        <f>(C$24*$C$20)*$F$24+(C$25*$C$20)*$F$25+(C$26*$C$20)*B33</f>
        <v>1983.8353011581271</v>
      </c>
      <c r="D33" s="78"/>
      <c r="E33" s="78"/>
      <c r="F33" s="78" t="s">
        <v>282</v>
      </c>
      <c r="G33" s="78"/>
      <c r="H33" s="78"/>
      <c r="I33" s="78"/>
    </row>
    <row r="34" spans="2:9" ht="12.75" customHeight="1" x14ac:dyDescent="0.25">
      <c r="B34" s="78"/>
      <c r="C34" s="78"/>
      <c r="D34" s="78"/>
      <c r="E34" s="78"/>
      <c r="F34" s="78"/>
      <c r="G34" s="78"/>
      <c r="H34" s="78"/>
      <c r="I34" s="78"/>
    </row>
    <row r="35" spans="2:9" ht="12.75" customHeight="1" x14ac:dyDescent="0.25">
      <c r="B35" s="175">
        <v>2030</v>
      </c>
      <c r="C35" s="78"/>
      <c r="D35" s="78"/>
      <c r="E35" s="78"/>
      <c r="F35" s="78"/>
      <c r="G35" s="78"/>
      <c r="H35" s="78"/>
      <c r="I35" s="78"/>
    </row>
    <row r="36" spans="2:9" ht="12.75" customHeight="1" x14ac:dyDescent="0.25">
      <c r="B36" s="362" t="s">
        <v>311</v>
      </c>
      <c r="C36" s="363">
        <f>C21</f>
        <v>2.7000000000000027E-2</v>
      </c>
      <c r="D36" s="79">
        <v>0.03</v>
      </c>
      <c r="E36" s="79">
        <v>0.04</v>
      </c>
      <c r="F36" s="79">
        <v>0.05</v>
      </c>
      <c r="G36" s="79">
        <v>0.06</v>
      </c>
      <c r="H36" s="79">
        <v>7.0000000000000007E-2</v>
      </c>
      <c r="I36" s="79">
        <v>0.08</v>
      </c>
    </row>
    <row r="37" spans="2:9" ht="12.75" customHeight="1" x14ac:dyDescent="0.25">
      <c r="B37" s="173">
        <f>B30</f>
        <v>1</v>
      </c>
      <c r="C37" s="174">
        <f>C30*(1+$C$21)^5</f>
        <v>1363.0138535863391</v>
      </c>
      <c r="D37" s="174">
        <f t="shared" ref="D37:I37" si="11">$C$30*(1+D$36)^5</f>
        <v>1383.0381996729645</v>
      </c>
      <c r="E37" s="174">
        <f t="shared" si="11"/>
        <v>1451.4923408239144</v>
      </c>
      <c r="F37" s="174">
        <f t="shared" si="11"/>
        <v>1522.6305785727502</v>
      </c>
      <c r="G37" s="174">
        <f t="shared" si="11"/>
        <v>1596.5310832279154</v>
      </c>
      <c r="H37" s="174">
        <f t="shared" si="11"/>
        <v>1673.273528304185</v>
      </c>
      <c r="I37" s="174">
        <f t="shared" si="11"/>
        <v>1752.939104838922</v>
      </c>
    </row>
    <row r="38" spans="2:9" ht="12.75" customHeight="1" x14ac:dyDescent="0.25">
      <c r="B38" s="173">
        <f>B31</f>
        <v>1.5</v>
      </c>
      <c r="C38" s="174">
        <f>C31*(1+$C$21)^5</f>
        <v>1664.179570519291</v>
      </c>
      <c r="D38" s="174">
        <f t="shared" ref="D38:I38" si="12">$C$31*(1+D$36)^5</f>
        <v>1688.6284105532261</v>
      </c>
      <c r="E38" s="174">
        <f t="shared" si="12"/>
        <v>1772.2078862284811</v>
      </c>
      <c r="F38" s="174">
        <f t="shared" si="12"/>
        <v>1859.0645250167511</v>
      </c>
      <c r="G38" s="174">
        <f t="shared" si="12"/>
        <v>1949.2937694038121</v>
      </c>
      <c r="H38" s="174">
        <f t="shared" si="12"/>
        <v>2042.992897223819</v>
      </c>
      <c r="I38" s="174">
        <f t="shared" si="12"/>
        <v>2140.2610391388216</v>
      </c>
    </row>
    <row r="39" spans="2:9" ht="12.75" customHeight="1" x14ac:dyDescent="0.25">
      <c r="B39" s="173">
        <f>B32</f>
        <v>2</v>
      </c>
      <c r="C39" s="174">
        <f>C32*(1+$C$21)^5</f>
        <v>1965.3452874522429</v>
      </c>
      <c r="D39" s="174">
        <f t="shared" ref="D39:I39" si="13">$C$32*(1+D$36)^5</f>
        <v>1994.2186214334877</v>
      </c>
      <c r="E39" s="174">
        <f t="shared" si="13"/>
        <v>2092.9234316330476</v>
      </c>
      <c r="F39" s="174">
        <f t="shared" si="13"/>
        <v>2195.4984714607517</v>
      </c>
      <c r="G39" s="174">
        <f t="shared" si="13"/>
        <v>2302.0564555797087</v>
      </c>
      <c r="H39" s="174">
        <f t="shared" si="13"/>
        <v>2412.7122661434532</v>
      </c>
      <c r="I39" s="174">
        <f t="shared" si="13"/>
        <v>2527.5829734387207</v>
      </c>
    </row>
    <row r="40" spans="2:9" ht="12.75" customHeight="1" x14ac:dyDescent="0.25">
      <c r="B40" s="173">
        <f>B33</f>
        <v>2.5</v>
      </c>
      <c r="C40" s="174">
        <f>C33*(1+$C$21)^5</f>
        <v>2266.5110043851946</v>
      </c>
      <c r="D40" s="174">
        <f t="shared" ref="D40:I40" si="14">$C$33*(1+D$36)^5</f>
        <v>2299.808832313749</v>
      </c>
      <c r="E40" s="174">
        <f t="shared" si="14"/>
        <v>2413.638977037614</v>
      </c>
      <c r="F40" s="174">
        <f t="shared" si="14"/>
        <v>2531.9324179047526</v>
      </c>
      <c r="G40" s="174">
        <f t="shared" si="14"/>
        <v>2654.8191417556054</v>
      </c>
      <c r="H40" s="174">
        <f t="shared" si="14"/>
        <v>2782.431635063087</v>
      </c>
      <c r="I40" s="174">
        <f t="shared" si="14"/>
        <v>2914.9049077386203</v>
      </c>
    </row>
    <row r="41" spans="2:9" ht="12.75" customHeight="1" x14ac:dyDescent="0.25">
      <c r="B41" s="78"/>
      <c r="C41" s="326"/>
      <c r="D41" s="326"/>
      <c r="E41" s="326"/>
      <c r="F41" s="326"/>
      <c r="G41" s="326"/>
      <c r="H41" s="326"/>
      <c r="I41" s="326"/>
    </row>
    <row r="42" spans="2:9" ht="12.75" customHeight="1" x14ac:dyDescent="0.25">
      <c r="B42" s="175">
        <v>2035</v>
      </c>
      <c r="C42" s="326"/>
      <c r="D42" s="326"/>
      <c r="E42" s="326"/>
      <c r="F42" s="326"/>
      <c r="G42" s="326"/>
      <c r="H42" s="326"/>
      <c r="I42" s="326"/>
    </row>
    <row r="43" spans="2:9" ht="12.75" customHeight="1" x14ac:dyDescent="0.25">
      <c r="B43" s="362" t="s">
        <v>311</v>
      </c>
      <c r="C43" s="363">
        <f>C21</f>
        <v>2.7000000000000027E-2</v>
      </c>
      <c r="D43" s="79">
        <v>0.03</v>
      </c>
      <c r="E43" s="79">
        <v>0.04</v>
      </c>
      <c r="F43" s="79">
        <v>0.05</v>
      </c>
      <c r="G43" s="79">
        <v>0.06</v>
      </c>
      <c r="H43" s="79">
        <v>7.0000000000000007E-2</v>
      </c>
      <c r="I43" s="79">
        <v>0.08</v>
      </c>
    </row>
    <row r="44" spans="2:9" ht="12.75" customHeight="1" x14ac:dyDescent="0.25">
      <c r="B44" s="173">
        <f>B30</f>
        <v>1</v>
      </c>
      <c r="C44" s="174">
        <f>C30*(1+$C$21)^10</f>
        <v>1557.2290181949274</v>
      </c>
      <c r="D44" s="174">
        <f t="shared" ref="D44:I44" si="15">$C$30*(1+D$36)^10</f>
        <v>1603.3203286474145</v>
      </c>
      <c r="E44" s="174">
        <f t="shared" si="15"/>
        <v>1765.9623692747859</v>
      </c>
      <c r="F44" s="174">
        <f t="shared" si="15"/>
        <v>1943.3053339311086</v>
      </c>
      <c r="G44" s="174">
        <f t="shared" si="15"/>
        <v>2136.5187310090309</v>
      </c>
      <c r="H44" s="174">
        <f t="shared" si="15"/>
        <v>2346.8526830575302</v>
      </c>
      <c r="I44" s="174">
        <f t="shared" si="15"/>
        <v>2575.6426436604875</v>
      </c>
    </row>
    <row r="45" spans="2:9" ht="12.75" customHeight="1" x14ac:dyDescent="0.25">
      <c r="B45" s="173">
        <f>B31</f>
        <v>1.5</v>
      </c>
      <c r="C45" s="174">
        <f>C31*(1+$C$21)^10</f>
        <v>1901.3076880187809</v>
      </c>
      <c r="D45" s="174">
        <f t="shared" ref="D45:I45" si="16">$C$31*(1+D$36)^10</f>
        <v>1957.5831374807715</v>
      </c>
      <c r="E45" s="174">
        <f t="shared" si="16"/>
        <v>2156.161868436051</v>
      </c>
      <c r="F45" s="174">
        <f t="shared" si="16"/>
        <v>2372.6897767766995</v>
      </c>
      <c r="G45" s="174">
        <f t="shared" si="16"/>
        <v>2608.5947804724983</v>
      </c>
      <c r="H45" s="174">
        <f t="shared" si="16"/>
        <v>2865.4032238090749</v>
      </c>
      <c r="I45" s="174">
        <f t="shared" si="16"/>
        <v>3144.7456364878149</v>
      </c>
    </row>
    <row r="46" spans="2:9" ht="12.75" customHeight="1" x14ac:dyDescent="0.25">
      <c r="B46" s="173">
        <f>B32</f>
        <v>2</v>
      </c>
      <c r="C46" s="174">
        <f>C32*(1+$C$21)^10</f>
        <v>2245.3863578426344</v>
      </c>
      <c r="D46" s="174">
        <f t="shared" ref="D46:I46" si="17">$C$32*(1+D$36)^10</f>
        <v>2311.8459463141285</v>
      </c>
      <c r="E46" s="174">
        <f t="shared" si="17"/>
        <v>2546.3613675973156</v>
      </c>
      <c r="F46" s="174">
        <f t="shared" si="17"/>
        <v>2802.07421962229</v>
      </c>
      <c r="G46" s="174">
        <f t="shared" si="17"/>
        <v>3080.6708299359652</v>
      </c>
      <c r="H46" s="174">
        <f t="shared" si="17"/>
        <v>3383.9537645606192</v>
      </c>
      <c r="I46" s="174">
        <f t="shared" si="17"/>
        <v>3713.8486293151423</v>
      </c>
    </row>
    <row r="47" spans="2:9" ht="12.75" customHeight="1" x14ac:dyDescent="0.25">
      <c r="B47" s="173">
        <f>B33</f>
        <v>2.5</v>
      </c>
      <c r="C47" s="174">
        <f>C33*(1+$C$21)^10</f>
        <v>2589.4650276664879</v>
      </c>
      <c r="D47" s="174">
        <f t="shared" ref="D47:I47" si="18">$C$33*(1+D$36)^10</f>
        <v>2666.1087551474857</v>
      </c>
      <c r="E47" s="174">
        <f t="shared" si="18"/>
        <v>2936.5608667585807</v>
      </c>
      <c r="F47" s="174">
        <f t="shared" si="18"/>
        <v>3231.4586624678809</v>
      </c>
      <c r="G47" s="174">
        <f t="shared" si="18"/>
        <v>3552.7468793994321</v>
      </c>
      <c r="H47" s="174">
        <f t="shared" si="18"/>
        <v>3902.504305312164</v>
      </c>
      <c r="I47" s="174">
        <f t="shared" si="18"/>
        <v>4282.9516221424692</v>
      </c>
    </row>
  </sheetData>
  <conditionalFormatting sqref="C37:I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I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F8D4-04EB-4666-9A13-95C390D4EF92}">
  <sheetPr>
    <pageSetUpPr fitToPage="1"/>
  </sheetPr>
  <dimension ref="A1:AK102"/>
  <sheetViews>
    <sheetView workbookViewId="0"/>
  </sheetViews>
  <sheetFormatPr defaultColWidth="8.88671875" defaultRowHeight="13.2" x14ac:dyDescent="0.25"/>
  <cols>
    <col min="1" max="1" width="28.109375" style="37" customWidth="1"/>
    <col min="2" max="2" width="18.88671875" style="37" customWidth="1"/>
    <col min="3" max="3" width="20" style="37" customWidth="1"/>
    <col min="4" max="4" width="17.88671875" style="37" customWidth="1"/>
    <col min="5" max="11" width="20" style="37" customWidth="1"/>
    <col min="12" max="12" width="25.33203125" style="37" customWidth="1"/>
    <col min="13" max="13" width="24.44140625" style="37" bestFit="1" customWidth="1"/>
    <col min="14" max="14" width="31.6640625" style="37" bestFit="1" customWidth="1"/>
    <col min="15" max="15" width="18.88671875" style="37" customWidth="1"/>
    <col min="16" max="33" width="13" style="37" bestFit="1" customWidth="1"/>
    <col min="34" max="37" width="11.44140625" style="37" bestFit="1" customWidth="1"/>
    <col min="38" max="16384" width="8.88671875" style="37"/>
  </cols>
  <sheetData>
    <row r="1" spans="1:37" x14ac:dyDescent="0.25">
      <c r="A1" s="84" t="s">
        <v>312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37" s="108" customFormat="1" x14ac:dyDescent="0.25">
      <c r="A2" s="107" t="s">
        <v>313</v>
      </c>
      <c r="B2" s="107">
        <v>2035</v>
      </c>
      <c r="C2" s="107">
        <v>2034</v>
      </c>
      <c r="D2" s="107">
        <v>2033</v>
      </c>
      <c r="E2" s="107">
        <v>2032</v>
      </c>
      <c r="F2" s="107">
        <v>2031</v>
      </c>
      <c r="G2" s="107">
        <v>2030</v>
      </c>
      <c r="H2" s="107">
        <v>2029</v>
      </c>
      <c r="I2" s="107">
        <v>2028</v>
      </c>
      <c r="J2" s="107">
        <v>2027</v>
      </c>
      <c r="K2" s="107">
        <v>2026</v>
      </c>
      <c r="L2" s="107">
        <v>2025</v>
      </c>
      <c r="M2" s="107">
        <v>2024</v>
      </c>
      <c r="N2" s="107">
        <v>2023</v>
      </c>
      <c r="O2" s="107">
        <v>2022</v>
      </c>
      <c r="P2" s="107">
        <v>2021</v>
      </c>
      <c r="Q2" s="107">
        <v>2020</v>
      </c>
      <c r="R2" s="107">
        <v>2019</v>
      </c>
      <c r="S2" s="107">
        <v>2018</v>
      </c>
      <c r="T2" s="107">
        <v>2017</v>
      </c>
      <c r="U2" s="107">
        <v>2016</v>
      </c>
      <c r="V2" s="107">
        <v>2015</v>
      </c>
      <c r="W2" s="107">
        <v>2014</v>
      </c>
      <c r="X2" s="107">
        <v>2013</v>
      </c>
      <c r="Y2" s="107">
        <v>2012</v>
      </c>
      <c r="Z2" s="107">
        <v>2011</v>
      </c>
      <c r="AA2" s="107">
        <v>2010</v>
      </c>
      <c r="AB2" s="107">
        <v>2009</v>
      </c>
      <c r="AC2" s="107">
        <v>2008</v>
      </c>
      <c r="AD2" s="107">
        <v>2007</v>
      </c>
      <c r="AE2" s="107">
        <v>2006</v>
      </c>
      <c r="AF2" s="107">
        <v>2005</v>
      </c>
      <c r="AG2" s="107">
        <v>2004</v>
      </c>
      <c r="AH2" s="107">
        <v>2003</v>
      </c>
      <c r="AI2" s="107">
        <v>2002</v>
      </c>
      <c r="AJ2" s="107">
        <v>2001</v>
      </c>
      <c r="AK2" s="107">
        <v>2000</v>
      </c>
    </row>
    <row r="3" spans="1:37" s="516" customFormat="1" x14ac:dyDescent="0.25">
      <c r="A3" s="514" t="s">
        <v>314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  <c r="AD3" s="515"/>
      <c r="AE3" s="515"/>
      <c r="AF3" s="515"/>
      <c r="AG3" s="515"/>
      <c r="AH3" s="515"/>
      <c r="AI3" s="515"/>
      <c r="AJ3" s="515"/>
      <c r="AK3" s="515"/>
    </row>
    <row r="4" spans="1:37" x14ac:dyDescent="0.25">
      <c r="A4" s="439" t="s">
        <v>315</v>
      </c>
      <c r="B4" s="110">
        <f t="shared" ref="B4:K4" si="0">C4*1.016</f>
        <v>1742919.1959355585</v>
      </c>
      <c r="C4" s="110">
        <f t="shared" si="0"/>
        <v>1715471.6495428726</v>
      </c>
      <c r="D4" s="110">
        <f t="shared" si="0"/>
        <v>1688456.3479752683</v>
      </c>
      <c r="E4" s="110">
        <f t="shared" si="0"/>
        <v>1661866.4842276261</v>
      </c>
      <c r="F4" s="110">
        <f t="shared" si="0"/>
        <v>1635695.3584917579</v>
      </c>
      <c r="G4" s="110">
        <f t="shared" si="0"/>
        <v>1609936.3764682657</v>
      </c>
      <c r="H4" s="110">
        <f t="shared" si="0"/>
        <v>1584583.0477049858</v>
      </c>
      <c r="I4" s="110">
        <f t="shared" si="0"/>
        <v>1559628.9839616001</v>
      </c>
      <c r="J4" s="110">
        <f t="shared" si="0"/>
        <v>1535067.8976</v>
      </c>
      <c r="K4" s="110">
        <f t="shared" si="0"/>
        <v>1510893.6</v>
      </c>
      <c r="L4" s="111">
        <v>1487100</v>
      </c>
      <c r="M4" s="111">
        <v>1463400</v>
      </c>
      <c r="N4" s="111">
        <v>1425100</v>
      </c>
      <c r="O4" s="111">
        <v>1399600</v>
      </c>
      <c r="P4" s="111">
        <v>1390600</v>
      </c>
      <c r="Q4" s="111">
        <v>1372600</v>
      </c>
      <c r="R4" s="111">
        <v>1372400</v>
      </c>
      <c r="S4" s="111">
        <v>1325300</v>
      </c>
      <c r="T4" s="111">
        <v>1289900</v>
      </c>
      <c r="U4" s="111">
        <v>1263600</v>
      </c>
      <c r="V4" s="111">
        <v>1225300</v>
      </c>
      <c r="W4" s="111">
        <v>1200000</v>
      </c>
      <c r="X4" s="111">
        <v>1174500</v>
      </c>
      <c r="Y4" s="111">
        <v>1152000</v>
      </c>
      <c r="Z4" s="111">
        <v>1146200</v>
      </c>
      <c r="AA4" s="111">
        <v>1145900</v>
      </c>
      <c r="AB4" s="111">
        <v>1119600</v>
      </c>
      <c r="AC4" s="111">
        <v>1093100</v>
      </c>
      <c r="AD4" s="111">
        <v>1074800</v>
      </c>
      <c r="AE4" s="111">
        <v>1054100</v>
      </c>
      <c r="AF4" s="111">
        <v>1024500</v>
      </c>
      <c r="AG4" s="111">
        <v>1003800</v>
      </c>
      <c r="AH4" s="111">
        <v>989000</v>
      </c>
      <c r="AI4" s="111">
        <v>964600</v>
      </c>
      <c r="AJ4" s="111">
        <v>934400</v>
      </c>
      <c r="AK4" s="111">
        <v>915100</v>
      </c>
    </row>
    <row r="5" spans="1:37" x14ac:dyDescent="0.25">
      <c r="A5" s="439" t="s">
        <v>316</v>
      </c>
      <c r="B5" s="110">
        <f t="shared" ref="B5:J5" si="1">C5*1.016</f>
        <v>290545.13393344416</v>
      </c>
      <c r="C5" s="110">
        <f t="shared" si="1"/>
        <v>285969.62001323246</v>
      </c>
      <c r="D5" s="110">
        <f t="shared" si="1"/>
        <v>281466.1614303469</v>
      </c>
      <c r="E5" s="110">
        <f t="shared" si="1"/>
        <v>277033.62345506583</v>
      </c>
      <c r="F5" s="110">
        <f t="shared" si="1"/>
        <v>272670.88922742702</v>
      </c>
      <c r="G5" s="110">
        <f t="shared" si="1"/>
        <v>268376.85947581398</v>
      </c>
      <c r="H5" s="110">
        <f t="shared" si="1"/>
        <v>264150.4522399744</v>
      </c>
      <c r="I5" s="110">
        <f t="shared" si="1"/>
        <v>259990.6025984</v>
      </c>
      <c r="J5" s="110">
        <f t="shared" si="1"/>
        <v>255896.26240000001</v>
      </c>
      <c r="K5" s="110">
        <f>L5*1.016</f>
        <v>251866.4</v>
      </c>
      <c r="L5" s="111">
        <v>247900</v>
      </c>
      <c r="M5" s="111">
        <v>236200</v>
      </c>
      <c r="N5" s="111">
        <v>222700</v>
      </c>
      <c r="O5" s="111">
        <v>217300</v>
      </c>
      <c r="P5" s="111">
        <v>217400</v>
      </c>
      <c r="Q5" s="111">
        <v>220300</v>
      </c>
      <c r="R5" s="111">
        <v>208000</v>
      </c>
      <c r="S5" s="111">
        <v>185400</v>
      </c>
      <c r="T5" s="111">
        <v>167900</v>
      </c>
      <c r="U5" s="111">
        <v>156200</v>
      </c>
      <c r="V5" s="111">
        <v>146000</v>
      </c>
      <c r="W5" s="111">
        <v>134800</v>
      </c>
      <c r="X5" s="111">
        <v>124400</v>
      </c>
      <c r="Y5" s="111">
        <v>109500</v>
      </c>
      <c r="Z5" s="111">
        <v>114000</v>
      </c>
      <c r="AA5" s="111">
        <v>139900</v>
      </c>
      <c r="AB5" s="111">
        <v>115700</v>
      </c>
      <c r="AC5" s="111">
        <v>109700</v>
      </c>
      <c r="AD5" s="111">
        <v>116400</v>
      </c>
      <c r="AE5" s="111">
        <v>112500</v>
      </c>
      <c r="AF5" s="111">
        <v>103300</v>
      </c>
      <c r="AG5" s="111">
        <v>96300</v>
      </c>
      <c r="AH5" s="111">
        <v>94800</v>
      </c>
      <c r="AI5" s="111">
        <v>82700</v>
      </c>
      <c r="AJ5" s="111">
        <v>73200</v>
      </c>
      <c r="AK5" s="111">
        <v>75400</v>
      </c>
    </row>
    <row r="6" spans="1:37" x14ac:dyDescent="0.25">
      <c r="A6" s="439" t="s">
        <v>317</v>
      </c>
      <c r="B6" s="110">
        <f t="shared" ref="B6:K6" si="2">C6*1.016</f>
        <v>415131.4499363692</v>
      </c>
      <c r="C6" s="110">
        <f t="shared" si="2"/>
        <v>408593.94678776496</v>
      </c>
      <c r="D6" s="110">
        <f t="shared" si="2"/>
        <v>402159.39644465054</v>
      </c>
      <c r="E6" s="110">
        <f t="shared" si="2"/>
        <v>395826.17760300252</v>
      </c>
      <c r="F6" s="110">
        <f t="shared" si="2"/>
        <v>389592.69449114421</v>
      </c>
      <c r="G6" s="110">
        <f t="shared" si="2"/>
        <v>383457.37646766164</v>
      </c>
      <c r="H6" s="110">
        <f t="shared" si="2"/>
        <v>377418.67762565124</v>
      </c>
      <c r="I6" s="110">
        <f t="shared" si="2"/>
        <v>371475.07640320004</v>
      </c>
      <c r="J6" s="110">
        <f t="shared" si="2"/>
        <v>365625.07520000002</v>
      </c>
      <c r="K6" s="110">
        <f t="shared" si="2"/>
        <v>359867.2</v>
      </c>
      <c r="L6" s="111">
        <v>354200</v>
      </c>
      <c r="M6" s="111">
        <v>343700</v>
      </c>
      <c r="N6" s="111">
        <v>344200</v>
      </c>
      <c r="O6" s="111">
        <v>331300</v>
      </c>
      <c r="P6" s="111">
        <v>331200</v>
      </c>
      <c r="Q6" s="111">
        <v>309800</v>
      </c>
      <c r="R6" s="111">
        <v>334400</v>
      </c>
      <c r="S6" s="111">
        <v>306300</v>
      </c>
      <c r="T6" s="111">
        <v>289200</v>
      </c>
      <c r="U6" s="111">
        <v>276100</v>
      </c>
      <c r="V6" s="111">
        <v>259200</v>
      </c>
      <c r="W6" s="111">
        <v>252200</v>
      </c>
      <c r="X6" s="111">
        <v>234100</v>
      </c>
      <c r="Y6" s="111">
        <v>230900</v>
      </c>
      <c r="Z6" s="111">
        <v>227900</v>
      </c>
      <c r="AA6" s="111">
        <v>215000</v>
      </c>
      <c r="AB6" s="111">
        <v>219400</v>
      </c>
      <c r="AC6" s="111">
        <v>214300</v>
      </c>
      <c r="AD6" s="111">
        <v>204600</v>
      </c>
      <c r="AE6" s="111">
        <v>207600</v>
      </c>
      <c r="AF6" s="111">
        <v>191200</v>
      </c>
      <c r="AG6" s="111">
        <v>193000</v>
      </c>
      <c r="AH6" s="111">
        <v>190500</v>
      </c>
      <c r="AI6" s="111">
        <v>181400</v>
      </c>
      <c r="AJ6" s="111">
        <v>173700</v>
      </c>
      <c r="AK6" s="111">
        <v>157200</v>
      </c>
    </row>
    <row r="7" spans="1:37" x14ac:dyDescent="0.25">
      <c r="A7" s="439" t="s">
        <v>318</v>
      </c>
      <c r="B7" s="110">
        <f t="shared" ref="B7:K7" si="3">C7*1.016</f>
        <v>393566.17980980466</v>
      </c>
      <c r="C7" s="110">
        <f t="shared" si="3"/>
        <v>387368.28721437464</v>
      </c>
      <c r="D7" s="110">
        <f t="shared" si="3"/>
        <v>381267.99922674667</v>
      </c>
      <c r="E7" s="110">
        <f t="shared" si="3"/>
        <v>375263.77876648295</v>
      </c>
      <c r="F7" s="110">
        <f t="shared" si="3"/>
        <v>369354.11295913678</v>
      </c>
      <c r="G7" s="110">
        <f t="shared" si="3"/>
        <v>363537.51275505585</v>
      </c>
      <c r="H7" s="110">
        <f t="shared" si="3"/>
        <v>357812.51255418884</v>
      </c>
      <c r="I7" s="110">
        <f t="shared" si="3"/>
        <v>352177.66983680002</v>
      </c>
      <c r="J7" s="110">
        <f t="shared" si="3"/>
        <v>346631.56479999999</v>
      </c>
      <c r="K7" s="110">
        <f t="shared" si="3"/>
        <v>341172.8</v>
      </c>
      <c r="L7" s="111">
        <v>335800</v>
      </c>
      <c r="M7" s="111">
        <v>335000</v>
      </c>
      <c r="N7" s="111">
        <v>315500</v>
      </c>
      <c r="O7" s="111">
        <v>329300</v>
      </c>
      <c r="P7" s="111">
        <v>297500</v>
      </c>
      <c r="Q7" s="111">
        <v>280500</v>
      </c>
      <c r="R7" s="111">
        <v>286400</v>
      </c>
      <c r="S7" s="111">
        <v>276900</v>
      </c>
      <c r="T7" s="111">
        <v>277000</v>
      </c>
      <c r="U7" s="111">
        <v>266200</v>
      </c>
      <c r="V7" s="111">
        <v>256200</v>
      </c>
      <c r="W7" s="111">
        <v>251500</v>
      </c>
      <c r="X7" s="111">
        <v>243700</v>
      </c>
      <c r="Y7" s="111">
        <v>238300</v>
      </c>
      <c r="Z7" s="111">
        <v>237100</v>
      </c>
      <c r="AA7" s="111">
        <v>231400</v>
      </c>
      <c r="AB7" s="111">
        <v>234300</v>
      </c>
      <c r="AC7" s="111">
        <v>227200</v>
      </c>
      <c r="AD7" s="111">
        <v>223300</v>
      </c>
      <c r="AE7" s="111">
        <v>217500</v>
      </c>
      <c r="AF7" s="111">
        <v>206000</v>
      </c>
      <c r="AG7" s="111">
        <v>206800</v>
      </c>
      <c r="AH7" s="111">
        <v>201300</v>
      </c>
      <c r="AI7" s="111">
        <v>205700</v>
      </c>
      <c r="AJ7" s="111">
        <v>188300</v>
      </c>
      <c r="AK7" s="111">
        <v>175100</v>
      </c>
    </row>
    <row r="8" spans="1:37" x14ac:dyDescent="0.25">
      <c r="A8" s="439" t="s">
        <v>319</v>
      </c>
      <c r="B8" s="110">
        <f t="shared" ref="B8:K8" si="4">C8*1.016</f>
        <v>347622.77823581902</v>
      </c>
      <c r="C8" s="110">
        <f t="shared" si="4"/>
        <v>342148.40377541241</v>
      </c>
      <c r="D8" s="110">
        <f t="shared" si="4"/>
        <v>336760.23993642954</v>
      </c>
      <c r="E8" s="110">
        <f t="shared" si="4"/>
        <v>331456.92907128891</v>
      </c>
      <c r="F8" s="110">
        <f t="shared" si="4"/>
        <v>326237.1349126859</v>
      </c>
      <c r="G8" s="110">
        <f t="shared" si="4"/>
        <v>321099.54223689559</v>
      </c>
      <c r="H8" s="110">
        <f t="shared" si="4"/>
        <v>316042.85653237754</v>
      </c>
      <c r="I8" s="110">
        <f t="shared" si="4"/>
        <v>311065.80367359996</v>
      </c>
      <c r="J8" s="110">
        <f t="shared" si="4"/>
        <v>306167.12959999999</v>
      </c>
      <c r="K8" s="110">
        <f t="shared" si="4"/>
        <v>301345.59999999998</v>
      </c>
      <c r="L8" s="111">
        <v>296600</v>
      </c>
      <c r="M8" s="111">
        <v>294900</v>
      </c>
      <c r="N8" s="111">
        <v>287100</v>
      </c>
      <c r="O8" s="111">
        <v>287100</v>
      </c>
      <c r="P8" s="111">
        <v>279100</v>
      </c>
      <c r="Q8" s="111">
        <v>275600</v>
      </c>
      <c r="R8" s="111">
        <v>283500</v>
      </c>
      <c r="S8" s="111">
        <v>284500</v>
      </c>
      <c r="T8" s="111">
        <v>278100</v>
      </c>
      <c r="U8" s="111">
        <v>286200</v>
      </c>
      <c r="V8" s="111">
        <v>282200</v>
      </c>
      <c r="W8" s="111">
        <v>280100</v>
      </c>
      <c r="X8" s="111">
        <v>290900</v>
      </c>
      <c r="Y8" s="111">
        <v>281100</v>
      </c>
      <c r="Z8" s="111">
        <v>279600</v>
      </c>
      <c r="AA8" s="111">
        <v>263900</v>
      </c>
      <c r="AB8" s="111">
        <v>271300</v>
      </c>
      <c r="AC8" s="111">
        <v>268200</v>
      </c>
      <c r="AD8" s="111">
        <v>262900</v>
      </c>
      <c r="AE8" s="111">
        <v>258000</v>
      </c>
      <c r="AF8" s="111">
        <v>247300</v>
      </c>
      <c r="AG8" s="111">
        <v>250300</v>
      </c>
      <c r="AH8" s="111">
        <v>249600</v>
      </c>
      <c r="AI8" s="111">
        <v>242200</v>
      </c>
      <c r="AJ8" s="111">
        <v>242200</v>
      </c>
      <c r="AK8" s="111">
        <v>233400</v>
      </c>
    </row>
    <row r="9" spans="1:37" x14ac:dyDescent="0.25">
      <c r="A9" s="439" t="s">
        <v>320</v>
      </c>
      <c r="B9" s="110">
        <f t="shared" ref="B9:K9" si="5">C9*1.016</f>
        <v>189399.32893765467</v>
      </c>
      <c r="C9" s="110">
        <f t="shared" si="5"/>
        <v>186416.6623402113</v>
      </c>
      <c r="D9" s="110">
        <f t="shared" si="5"/>
        <v>183480.96687028671</v>
      </c>
      <c r="E9" s="110">
        <f t="shared" si="5"/>
        <v>180591.50282508534</v>
      </c>
      <c r="F9" s="110">
        <f t="shared" si="5"/>
        <v>177747.54215067453</v>
      </c>
      <c r="G9" s="110">
        <f t="shared" si="5"/>
        <v>174948.36825853793</v>
      </c>
      <c r="H9" s="110">
        <f t="shared" si="5"/>
        <v>172193.27584501763</v>
      </c>
      <c r="I9" s="110">
        <f t="shared" si="5"/>
        <v>169481.57071360003</v>
      </c>
      <c r="J9" s="110">
        <f t="shared" si="5"/>
        <v>166812.56960000002</v>
      </c>
      <c r="K9" s="110">
        <f t="shared" si="5"/>
        <v>164185.60000000001</v>
      </c>
      <c r="L9" s="111">
        <v>161600</v>
      </c>
      <c r="M9" s="111">
        <v>161800</v>
      </c>
      <c r="N9" s="111">
        <v>156500</v>
      </c>
      <c r="O9" s="111">
        <v>147500</v>
      </c>
      <c r="P9" s="111">
        <v>160900</v>
      </c>
      <c r="Q9" s="111">
        <v>163500</v>
      </c>
      <c r="R9" s="111">
        <v>155100</v>
      </c>
      <c r="S9" s="111">
        <v>160700</v>
      </c>
      <c r="T9" s="111">
        <v>161400</v>
      </c>
      <c r="U9" s="111">
        <v>161200</v>
      </c>
      <c r="V9" s="111">
        <v>164000</v>
      </c>
      <c r="W9" s="111">
        <v>162900</v>
      </c>
      <c r="X9" s="111">
        <v>165500</v>
      </c>
      <c r="Y9" s="111">
        <v>170500</v>
      </c>
      <c r="Z9" s="111">
        <v>169700</v>
      </c>
      <c r="AA9" s="111">
        <v>168000</v>
      </c>
      <c r="AB9" s="111">
        <v>164500</v>
      </c>
      <c r="AC9" s="111">
        <v>163700</v>
      </c>
      <c r="AD9" s="111">
        <v>166100</v>
      </c>
      <c r="AE9" s="111">
        <v>160300</v>
      </c>
      <c r="AF9" s="111">
        <v>163100</v>
      </c>
      <c r="AG9" s="111">
        <v>160200</v>
      </c>
      <c r="AH9" s="111">
        <v>155500</v>
      </c>
      <c r="AI9" s="111">
        <v>162700</v>
      </c>
      <c r="AJ9" s="111">
        <v>163200</v>
      </c>
      <c r="AK9" s="111">
        <v>163700</v>
      </c>
    </row>
    <row r="10" spans="1:37" ht="26.4" x14ac:dyDescent="0.25">
      <c r="A10" s="109" t="s">
        <v>321</v>
      </c>
      <c r="B10" s="110">
        <f t="shared" ref="B10:K10" si="6">C10*1.016</f>
        <v>106654.3250824664</v>
      </c>
      <c r="C10" s="110">
        <f t="shared" si="6"/>
        <v>104974.72941187638</v>
      </c>
      <c r="D10" s="110">
        <f t="shared" si="6"/>
        <v>103321.58406680747</v>
      </c>
      <c r="E10" s="110">
        <f t="shared" si="6"/>
        <v>101694.47250670026</v>
      </c>
      <c r="F10" s="110">
        <f t="shared" si="6"/>
        <v>100092.98475068923</v>
      </c>
      <c r="G10" s="110">
        <f t="shared" si="6"/>
        <v>98516.717274300419</v>
      </c>
      <c r="H10" s="110">
        <f t="shared" si="6"/>
        <v>96965.272907776001</v>
      </c>
      <c r="I10" s="110">
        <f t="shared" si="6"/>
        <v>95438.260735999997</v>
      </c>
      <c r="J10" s="110">
        <f t="shared" si="6"/>
        <v>93935.296000000002</v>
      </c>
      <c r="K10" s="110">
        <f t="shared" si="6"/>
        <v>92456</v>
      </c>
      <c r="L10" s="111">
        <v>91000</v>
      </c>
      <c r="M10" s="111">
        <v>91900</v>
      </c>
      <c r="N10" s="111">
        <v>99200</v>
      </c>
      <c r="O10" s="111">
        <v>87100</v>
      </c>
      <c r="P10" s="111">
        <v>104400</v>
      </c>
      <c r="Q10" s="111">
        <v>122900</v>
      </c>
      <c r="R10" s="111">
        <v>104900</v>
      </c>
      <c r="S10" s="111">
        <v>111600</v>
      </c>
      <c r="T10" s="111">
        <v>116300</v>
      </c>
      <c r="U10" s="111">
        <v>117600</v>
      </c>
      <c r="V10" s="111">
        <v>117600</v>
      </c>
      <c r="W10" s="111">
        <v>118400</v>
      </c>
      <c r="X10" s="111">
        <v>116000</v>
      </c>
      <c r="Y10" s="111">
        <v>121800</v>
      </c>
      <c r="Z10" s="111">
        <v>117900</v>
      </c>
      <c r="AA10" s="111">
        <v>127800</v>
      </c>
      <c r="AB10" s="111">
        <v>114400</v>
      </c>
      <c r="AC10" s="111">
        <v>110200</v>
      </c>
      <c r="AD10" s="111">
        <v>101400</v>
      </c>
      <c r="AE10" s="111">
        <v>98200</v>
      </c>
      <c r="AF10" s="111">
        <v>113600</v>
      </c>
      <c r="AG10" s="111">
        <v>97200</v>
      </c>
      <c r="AH10" s="111">
        <v>97100</v>
      </c>
      <c r="AI10" s="111">
        <v>89900</v>
      </c>
      <c r="AJ10" s="111">
        <v>93800</v>
      </c>
      <c r="AK10" s="111">
        <v>110200</v>
      </c>
    </row>
    <row r="11" spans="1:37" ht="26.4" x14ac:dyDescent="0.25">
      <c r="A11" s="440" t="s">
        <v>322</v>
      </c>
      <c r="B11" s="441">
        <f t="shared" ref="B11:K11" si="7">MAX(C11-0.026,2.5)</f>
        <v>2.800000000000002</v>
      </c>
      <c r="C11" s="110">
        <f t="shared" si="7"/>
        <v>2.8260000000000018</v>
      </c>
      <c r="D11" s="110">
        <f t="shared" si="7"/>
        <v>2.8520000000000016</v>
      </c>
      <c r="E11" s="110">
        <f t="shared" si="7"/>
        <v>2.8780000000000014</v>
      </c>
      <c r="F11" s="110">
        <f t="shared" si="7"/>
        <v>2.9040000000000012</v>
      </c>
      <c r="G11" s="110">
        <f t="shared" si="7"/>
        <v>2.930000000000001</v>
      </c>
      <c r="H11" s="110">
        <f t="shared" si="7"/>
        <v>2.9560000000000008</v>
      </c>
      <c r="I11" s="110">
        <f t="shared" si="7"/>
        <v>2.9820000000000007</v>
      </c>
      <c r="J11" s="110">
        <f t="shared" si="7"/>
        <v>3.0080000000000005</v>
      </c>
      <c r="K11" s="110">
        <f t="shared" si="7"/>
        <v>3.0340000000000003</v>
      </c>
      <c r="L11" s="445">
        <v>3.06</v>
      </c>
      <c r="M11" s="111">
        <v>3.09</v>
      </c>
      <c r="N11" s="111">
        <v>3.11</v>
      </c>
      <c r="O11" s="111">
        <v>3.09</v>
      </c>
      <c r="P11" s="111">
        <v>3.15</v>
      </c>
      <c r="Q11" s="111">
        <v>3.22</v>
      </c>
      <c r="R11" s="111">
        <v>3.16</v>
      </c>
      <c r="S11" s="111">
        <v>3.24</v>
      </c>
      <c r="T11" s="111">
        <v>3.3</v>
      </c>
      <c r="U11" s="111">
        <v>3.35</v>
      </c>
      <c r="V11" s="111">
        <v>3.39</v>
      </c>
      <c r="W11" s="111">
        <v>3.43</v>
      </c>
      <c r="X11" s="111">
        <v>3.47</v>
      </c>
      <c r="Y11" s="111">
        <v>3.53</v>
      </c>
      <c r="Z11" s="111">
        <v>3.51</v>
      </c>
      <c r="AA11" s="111">
        <v>3.5</v>
      </c>
      <c r="AB11" s="111">
        <v>3.49</v>
      </c>
      <c r="AC11" s="111">
        <v>3.5</v>
      </c>
      <c r="AD11" s="111">
        <v>3.48</v>
      </c>
      <c r="AE11" s="111">
        <v>3.46</v>
      </c>
      <c r="AF11" s="111">
        <v>3.56</v>
      </c>
      <c r="AG11" s="111">
        <v>3.52</v>
      </c>
      <c r="AH11" s="111">
        <v>3.52</v>
      </c>
      <c r="AI11" s="111">
        <v>3.55</v>
      </c>
      <c r="AJ11" s="111">
        <v>3.61</v>
      </c>
      <c r="AK11" s="112">
        <v>3.7</v>
      </c>
    </row>
    <row r="12" spans="1:37" ht="28.5" customHeight="1" x14ac:dyDescent="0.25">
      <c r="A12" s="439" t="s">
        <v>323</v>
      </c>
      <c r="B12" s="110">
        <f t="shared" ref="B12:K12" si="8">MAX(C12-0.026,1.5)</f>
        <v>2.720000000000002</v>
      </c>
      <c r="C12" s="110">
        <f t="shared" si="8"/>
        <v>2.7460000000000018</v>
      </c>
      <c r="D12" s="110">
        <f t="shared" si="8"/>
        <v>2.7720000000000016</v>
      </c>
      <c r="E12" s="110">
        <f t="shared" si="8"/>
        <v>2.7980000000000014</v>
      </c>
      <c r="F12" s="110">
        <f t="shared" si="8"/>
        <v>2.8240000000000012</v>
      </c>
      <c r="G12" s="110">
        <f t="shared" si="8"/>
        <v>2.850000000000001</v>
      </c>
      <c r="H12" s="110">
        <f t="shared" si="8"/>
        <v>2.8760000000000008</v>
      </c>
      <c r="I12" s="110">
        <f t="shared" si="8"/>
        <v>2.9020000000000006</v>
      </c>
      <c r="J12" s="110">
        <f t="shared" si="8"/>
        <v>2.9280000000000004</v>
      </c>
      <c r="K12" s="110">
        <f t="shared" si="8"/>
        <v>2.9540000000000002</v>
      </c>
      <c r="L12" s="111">
        <v>2.98</v>
      </c>
      <c r="M12" s="111">
        <v>3.01</v>
      </c>
      <c r="N12" s="111">
        <v>3.04</v>
      </c>
      <c r="O12" s="111">
        <v>3.02</v>
      </c>
      <c r="P12" s="111">
        <v>3.09</v>
      </c>
      <c r="Q12" s="111">
        <v>3.13</v>
      </c>
      <c r="R12" s="111">
        <v>3.07</v>
      </c>
      <c r="S12" s="111">
        <v>3.18</v>
      </c>
      <c r="T12" s="111">
        <v>3.25</v>
      </c>
      <c r="U12" s="111">
        <v>3.3</v>
      </c>
      <c r="V12" s="111">
        <v>3.34</v>
      </c>
      <c r="W12" s="111">
        <v>3.37</v>
      </c>
      <c r="X12" s="111">
        <v>3.42</v>
      </c>
      <c r="Y12" s="111">
        <v>3.48</v>
      </c>
      <c r="Z12" s="111">
        <v>3.46</v>
      </c>
      <c r="AA12" s="111">
        <v>3.45</v>
      </c>
      <c r="AB12" s="111">
        <v>3.45</v>
      </c>
      <c r="AC12" s="111">
        <v>3.45</v>
      </c>
      <c r="AD12" s="111">
        <v>3.44</v>
      </c>
      <c r="AE12" s="111">
        <v>3.43</v>
      </c>
      <c r="AF12" s="111">
        <v>3.51</v>
      </c>
      <c r="AG12" s="111">
        <v>3.46</v>
      </c>
      <c r="AH12" s="111">
        <v>3.47</v>
      </c>
      <c r="AI12" s="111">
        <v>3.51</v>
      </c>
      <c r="AJ12" s="111">
        <v>3.57</v>
      </c>
      <c r="AK12" s="111">
        <v>3.66</v>
      </c>
    </row>
    <row r="13" spans="1:37" x14ac:dyDescent="0.25">
      <c r="A13" s="439" t="s">
        <v>324</v>
      </c>
      <c r="B13" s="110">
        <f t="shared" ref="B13:K13" si="9">MAX(C13-0.026,1.5)</f>
        <v>1.6599999999999997</v>
      </c>
      <c r="C13" s="110">
        <f t="shared" si="9"/>
        <v>1.6859999999999997</v>
      </c>
      <c r="D13" s="110">
        <f t="shared" si="9"/>
        <v>1.7119999999999997</v>
      </c>
      <c r="E13" s="110">
        <f t="shared" si="9"/>
        <v>1.7379999999999998</v>
      </c>
      <c r="F13" s="110">
        <f t="shared" si="9"/>
        <v>1.7639999999999998</v>
      </c>
      <c r="G13" s="110">
        <f t="shared" si="9"/>
        <v>1.7899999999999998</v>
      </c>
      <c r="H13" s="110">
        <f t="shared" si="9"/>
        <v>1.8159999999999998</v>
      </c>
      <c r="I13" s="110">
        <f t="shared" si="9"/>
        <v>1.8419999999999999</v>
      </c>
      <c r="J13" s="110">
        <f t="shared" si="9"/>
        <v>1.8679999999999999</v>
      </c>
      <c r="K13" s="110">
        <f t="shared" si="9"/>
        <v>1.8939999999999999</v>
      </c>
      <c r="L13" s="111">
        <v>1.92</v>
      </c>
      <c r="M13" s="111">
        <v>1.92</v>
      </c>
      <c r="N13" s="111">
        <v>1.99</v>
      </c>
      <c r="O13" s="111">
        <v>2.0499999999999998</v>
      </c>
      <c r="P13" s="111">
        <v>2.0099999999999998</v>
      </c>
      <c r="Q13" s="111">
        <v>2.09</v>
      </c>
      <c r="R13" s="111">
        <v>2.02</v>
      </c>
      <c r="S13" s="111">
        <v>2.08</v>
      </c>
      <c r="T13" s="111">
        <v>2.19</v>
      </c>
      <c r="U13" s="111">
        <v>2.16</v>
      </c>
      <c r="V13" s="111">
        <v>2.2400000000000002</v>
      </c>
      <c r="W13" s="111">
        <v>2.3199999999999998</v>
      </c>
      <c r="X13" s="111">
        <v>2.38</v>
      </c>
      <c r="Y13" s="111">
        <v>2.36</v>
      </c>
      <c r="Z13" s="111">
        <v>2.2400000000000002</v>
      </c>
      <c r="AA13" s="111">
        <v>2.11</v>
      </c>
      <c r="AB13" s="111">
        <v>2.12</v>
      </c>
      <c r="AC13" s="111">
        <v>2.09</v>
      </c>
      <c r="AD13" s="111">
        <v>2.0099999999999998</v>
      </c>
      <c r="AE13" s="111">
        <v>2</v>
      </c>
      <c r="AF13" s="111">
        <v>2.04</v>
      </c>
      <c r="AG13" s="111">
        <v>2.04</v>
      </c>
      <c r="AH13" s="111">
        <v>1.96</v>
      </c>
      <c r="AI13" s="111">
        <v>2.0699999999999998</v>
      </c>
      <c r="AJ13" s="111">
        <v>2.19</v>
      </c>
      <c r="AK13" s="111">
        <v>2.2000000000000002</v>
      </c>
    </row>
    <row r="14" spans="1:37" x14ac:dyDescent="0.25">
      <c r="A14" s="439" t="s">
        <v>325</v>
      </c>
      <c r="B14" s="110">
        <f t="shared" ref="B14:K14" si="10">MAX(C14-0.026,1.5)</f>
        <v>2.1700000000000021</v>
      </c>
      <c r="C14" s="110">
        <f t="shared" si="10"/>
        <v>2.196000000000002</v>
      </c>
      <c r="D14" s="110">
        <f t="shared" si="10"/>
        <v>2.2220000000000018</v>
      </c>
      <c r="E14" s="110">
        <f t="shared" si="10"/>
        <v>2.2480000000000016</v>
      </c>
      <c r="F14" s="110">
        <f t="shared" si="10"/>
        <v>2.2740000000000014</v>
      </c>
      <c r="G14" s="110">
        <f t="shared" si="10"/>
        <v>2.3000000000000012</v>
      </c>
      <c r="H14" s="110">
        <f t="shared" si="10"/>
        <v>2.326000000000001</v>
      </c>
      <c r="I14" s="110">
        <f t="shared" si="10"/>
        <v>2.3520000000000008</v>
      </c>
      <c r="J14" s="110">
        <f t="shared" si="10"/>
        <v>2.3780000000000006</v>
      </c>
      <c r="K14" s="110">
        <f t="shared" si="10"/>
        <v>2.4040000000000004</v>
      </c>
      <c r="L14" s="111">
        <v>2.4300000000000002</v>
      </c>
      <c r="M14" s="111">
        <v>2.4500000000000002</v>
      </c>
      <c r="N14" s="111">
        <v>2.4900000000000002</v>
      </c>
      <c r="O14" s="111">
        <v>2.46</v>
      </c>
      <c r="P14" s="111">
        <v>2.48</v>
      </c>
      <c r="Q14" s="111">
        <v>2.54</v>
      </c>
      <c r="R14" s="111">
        <v>2.5</v>
      </c>
      <c r="S14" s="111">
        <v>2.58</v>
      </c>
      <c r="T14" s="111">
        <v>2.63</v>
      </c>
      <c r="U14" s="111">
        <v>2.67</v>
      </c>
      <c r="V14" s="111">
        <v>2.69</v>
      </c>
      <c r="W14" s="111">
        <v>2.7</v>
      </c>
      <c r="X14" s="111">
        <v>2.74</v>
      </c>
      <c r="Y14" s="111">
        <v>2.79</v>
      </c>
      <c r="Z14" s="111">
        <v>2.77</v>
      </c>
      <c r="AA14" s="111">
        <v>2.78</v>
      </c>
      <c r="AB14" s="111">
        <v>2.77</v>
      </c>
      <c r="AC14" s="111">
        <v>2.77</v>
      </c>
      <c r="AD14" s="111">
        <v>2.76</v>
      </c>
      <c r="AE14" s="111">
        <v>2.77</v>
      </c>
      <c r="AF14" s="111">
        <v>2.8</v>
      </c>
      <c r="AG14" s="111">
        <v>2.81</v>
      </c>
      <c r="AH14" s="111">
        <v>2.85</v>
      </c>
      <c r="AI14" s="111">
        <v>2.93</v>
      </c>
      <c r="AJ14" s="111">
        <v>3.01</v>
      </c>
      <c r="AK14" s="111">
        <v>3.11</v>
      </c>
    </row>
    <row r="15" spans="1:37" x14ac:dyDescent="0.25">
      <c r="A15" s="439" t="s">
        <v>326</v>
      </c>
      <c r="B15" s="110">
        <f t="shared" ref="B15:K15" si="11">MAX(C15-0.026,1.5)</f>
        <v>2.9000000000000021</v>
      </c>
      <c r="C15" s="110">
        <f t="shared" si="11"/>
        <v>2.9260000000000019</v>
      </c>
      <c r="D15" s="110">
        <f t="shared" si="11"/>
        <v>2.9520000000000017</v>
      </c>
      <c r="E15" s="110">
        <f t="shared" si="11"/>
        <v>2.9780000000000015</v>
      </c>
      <c r="F15" s="110">
        <f t="shared" si="11"/>
        <v>3.0040000000000013</v>
      </c>
      <c r="G15" s="110">
        <f t="shared" si="11"/>
        <v>3.0300000000000011</v>
      </c>
      <c r="H15" s="110">
        <f t="shared" si="11"/>
        <v>3.0560000000000009</v>
      </c>
      <c r="I15" s="110">
        <f t="shared" si="11"/>
        <v>3.0820000000000007</v>
      </c>
      <c r="J15" s="110">
        <f t="shared" si="11"/>
        <v>3.1080000000000005</v>
      </c>
      <c r="K15" s="110">
        <f t="shared" si="11"/>
        <v>3.1340000000000003</v>
      </c>
      <c r="L15" s="111">
        <v>3.16</v>
      </c>
      <c r="M15" s="111">
        <v>3.18</v>
      </c>
      <c r="N15" s="111">
        <v>3.17</v>
      </c>
      <c r="O15" s="111">
        <v>3.15</v>
      </c>
      <c r="P15" s="111">
        <v>3.27</v>
      </c>
      <c r="Q15" s="111">
        <v>3.29</v>
      </c>
      <c r="R15" s="111">
        <v>3.22</v>
      </c>
      <c r="S15" s="111">
        <v>3.34</v>
      </c>
      <c r="T15" s="111">
        <v>3.42</v>
      </c>
      <c r="U15" s="111">
        <v>3.46</v>
      </c>
      <c r="V15" s="111">
        <v>3.49</v>
      </c>
      <c r="W15" s="111">
        <v>3.53</v>
      </c>
      <c r="X15" s="111">
        <v>3.58</v>
      </c>
      <c r="Y15" s="111">
        <v>3.63</v>
      </c>
      <c r="Z15" s="111">
        <v>3.65</v>
      </c>
      <c r="AA15" s="111">
        <v>3.66</v>
      </c>
      <c r="AB15" s="111">
        <v>3.66</v>
      </c>
      <c r="AC15" s="111">
        <v>3.66</v>
      </c>
      <c r="AD15" s="111">
        <v>3.65</v>
      </c>
      <c r="AE15" s="111">
        <v>3.69</v>
      </c>
      <c r="AF15" s="111">
        <v>3.76</v>
      </c>
      <c r="AG15" s="111">
        <v>3.73</v>
      </c>
      <c r="AH15" s="111">
        <v>3.75</v>
      </c>
      <c r="AI15" s="111">
        <v>3.75</v>
      </c>
      <c r="AJ15" s="111">
        <v>3.87</v>
      </c>
      <c r="AK15" s="111">
        <v>3.95</v>
      </c>
    </row>
    <row r="16" spans="1:37" ht="26.4" x14ac:dyDescent="0.25">
      <c r="A16" s="109" t="s">
        <v>327</v>
      </c>
      <c r="B16" s="110">
        <f t="shared" ref="B16:K16" si="12">MAX(C16-0.026,1.5)</f>
        <v>3.220000000000002</v>
      </c>
      <c r="C16" s="110">
        <f t="shared" si="12"/>
        <v>3.2460000000000018</v>
      </c>
      <c r="D16" s="110">
        <f t="shared" si="12"/>
        <v>3.2720000000000016</v>
      </c>
      <c r="E16" s="110">
        <f t="shared" si="12"/>
        <v>3.2980000000000014</v>
      </c>
      <c r="F16" s="110">
        <f t="shared" si="12"/>
        <v>3.3240000000000012</v>
      </c>
      <c r="G16" s="110">
        <f t="shared" si="12"/>
        <v>3.350000000000001</v>
      </c>
      <c r="H16" s="110">
        <f t="shared" si="12"/>
        <v>3.3760000000000008</v>
      </c>
      <c r="I16" s="110">
        <f t="shared" si="12"/>
        <v>3.4020000000000006</v>
      </c>
      <c r="J16" s="110">
        <f t="shared" si="12"/>
        <v>3.4280000000000004</v>
      </c>
      <c r="K16" s="110">
        <f t="shared" si="12"/>
        <v>3.4540000000000002</v>
      </c>
      <c r="L16" s="111">
        <v>3.48</v>
      </c>
      <c r="M16" s="111">
        <v>3.56</v>
      </c>
      <c r="N16" s="111">
        <v>3.6</v>
      </c>
      <c r="O16" s="111">
        <v>3.56</v>
      </c>
      <c r="P16" s="111">
        <v>3.63</v>
      </c>
      <c r="Q16" s="111">
        <v>3.67</v>
      </c>
      <c r="R16" s="111">
        <v>3.58</v>
      </c>
      <c r="S16" s="111">
        <v>3.71</v>
      </c>
      <c r="T16" s="111">
        <v>3.77</v>
      </c>
      <c r="U16" s="111">
        <v>3.84</v>
      </c>
      <c r="V16" s="111">
        <v>3.89</v>
      </c>
      <c r="W16" s="111">
        <v>3.88</v>
      </c>
      <c r="X16" s="111">
        <v>3.94</v>
      </c>
      <c r="Y16" s="111">
        <v>3.98</v>
      </c>
      <c r="Z16" s="111">
        <v>3.99</v>
      </c>
      <c r="AA16" s="111">
        <v>3.96</v>
      </c>
      <c r="AB16" s="111">
        <v>3.93</v>
      </c>
      <c r="AC16" s="111">
        <v>3.93</v>
      </c>
      <c r="AD16" s="111">
        <v>3.93</v>
      </c>
      <c r="AE16" s="111">
        <v>3.93</v>
      </c>
      <c r="AF16" s="111">
        <v>4</v>
      </c>
      <c r="AG16" s="111">
        <v>3.93</v>
      </c>
      <c r="AH16" s="111">
        <v>3.96</v>
      </c>
      <c r="AI16" s="111">
        <v>3.96</v>
      </c>
      <c r="AJ16" s="111">
        <v>3.97</v>
      </c>
      <c r="AK16" s="111">
        <v>4.13</v>
      </c>
    </row>
    <row r="17" spans="1:37" ht="26.4" x14ac:dyDescent="0.25">
      <c r="A17" s="109" t="s">
        <v>328</v>
      </c>
      <c r="B17" s="110">
        <f t="shared" ref="B17:K17" si="13">MAX(C17-0.026,1.5)</f>
        <v>2.8900000000000019</v>
      </c>
      <c r="C17" s="110">
        <f t="shared" si="13"/>
        <v>2.9160000000000017</v>
      </c>
      <c r="D17" s="110">
        <f t="shared" si="13"/>
        <v>2.9420000000000015</v>
      </c>
      <c r="E17" s="110">
        <f t="shared" si="13"/>
        <v>2.9680000000000013</v>
      </c>
      <c r="F17" s="110">
        <f t="shared" si="13"/>
        <v>2.9940000000000011</v>
      </c>
      <c r="G17" s="110">
        <f t="shared" si="13"/>
        <v>3.0200000000000009</v>
      </c>
      <c r="H17" s="110">
        <f t="shared" si="13"/>
        <v>3.0460000000000007</v>
      </c>
      <c r="I17" s="110">
        <f t="shared" si="13"/>
        <v>3.0720000000000005</v>
      </c>
      <c r="J17" s="110">
        <f t="shared" si="13"/>
        <v>3.0980000000000003</v>
      </c>
      <c r="K17" s="110">
        <f t="shared" si="13"/>
        <v>3.1240000000000001</v>
      </c>
      <c r="L17" s="111">
        <v>3.15</v>
      </c>
      <c r="M17" s="111">
        <v>3.14</v>
      </c>
      <c r="N17" s="111">
        <v>3.17</v>
      </c>
      <c r="O17" s="111">
        <v>3.11</v>
      </c>
      <c r="P17" s="111">
        <v>3.11</v>
      </c>
      <c r="Q17" s="111">
        <v>3.29</v>
      </c>
      <c r="R17" s="111">
        <v>3.26</v>
      </c>
      <c r="S17" s="111">
        <v>3.26</v>
      </c>
      <c r="T17" s="111">
        <v>3.24</v>
      </c>
      <c r="U17" s="111">
        <v>3.3</v>
      </c>
      <c r="V17" s="111">
        <v>3.34</v>
      </c>
      <c r="W17" s="111">
        <v>3.4</v>
      </c>
      <c r="X17" s="111">
        <v>3.42</v>
      </c>
      <c r="Y17" s="111">
        <v>3.48</v>
      </c>
      <c r="Z17" s="111">
        <v>3.43</v>
      </c>
      <c r="AA17" s="111">
        <v>3.41</v>
      </c>
      <c r="AB17" s="111">
        <v>3.45</v>
      </c>
      <c r="AC17" s="111">
        <v>3.46</v>
      </c>
      <c r="AD17" s="111">
        <v>3.44</v>
      </c>
      <c r="AE17" s="111">
        <v>3.33</v>
      </c>
      <c r="AF17" s="111">
        <v>3.52</v>
      </c>
      <c r="AG17" s="111">
        <v>3.56</v>
      </c>
      <c r="AH17" s="111">
        <v>3.45</v>
      </c>
      <c r="AI17" s="111">
        <v>3.48</v>
      </c>
      <c r="AJ17" s="111">
        <v>3.58</v>
      </c>
      <c r="AK17" s="111">
        <v>3.67</v>
      </c>
    </row>
    <row r="18" spans="1:37" x14ac:dyDescent="0.25">
      <c r="A18" s="439" t="s">
        <v>329</v>
      </c>
      <c r="B18" s="110">
        <f t="shared" ref="B18:K18" si="14">MAX(C18-0.026,1.5)</f>
        <v>3.8700000000000019</v>
      </c>
      <c r="C18" s="110">
        <f t="shared" si="14"/>
        <v>3.8960000000000017</v>
      </c>
      <c r="D18" s="110">
        <f t="shared" si="14"/>
        <v>3.9220000000000015</v>
      </c>
      <c r="E18" s="110">
        <f t="shared" si="14"/>
        <v>3.9480000000000013</v>
      </c>
      <c r="F18" s="110">
        <f t="shared" si="14"/>
        <v>3.9740000000000011</v>
      </c>
      <c r="G18" s="110">
        <f t="shared" si="14"/>
        <v>4.0000000000000009</v>
      </c>
      <c r="H18" s="110">
        <f t="shared" si="14"/>
        <v>4.0260000000000007</v>
      </c>
      <c r="I18" s="110">
        <f t="shared" si="14"/>
        <v>4.0520000000000005</v>
      </c>
      <c r="J18" s="110">
        <f t="shared" si="14"/>
        <v>4.0780000000000003</v>
      </c>
      <c r="K18" s="110">
        <f t="shared" si="14"/>
        <v>4.1040000000000001</v>
      </c>
      <c r="L18" s="111">
        <v>4.13</v>
      </c>
      <c r="M18" s="111">
        <v>4.13</v>
      </c>
      <c r="N18" s="111">
        <v>4.07</v>
      </c>
      <c r="O18" s="111">
        <v>4.12</v>
      </c>
      <c r="P18" s="111">
        <v>4.2</v>
      </c>
      <c r="Q18" s="111">
        <v>4.38</v>
      </c>
      <c r="R18" s="111">
        <v>4.24</v>
      </c>
      <c r="S18" s="111">
        <v>4.17</v>
      </c>
      <c r="T18" s="111">
        <v>4.29</v>
      </c>
      <c r="U18" s="111">
        <v>4.28</v>
      </c>
      <c r="V18" s="111">
        <v>4.3</v>
      </c>
      <c r="W18" s="111">
        <v>4.32</v>
      </c>
      <c r="X18" s="111">
        <v>4.33</v>
      </c>
      <c r="Y18" s="111">
        <v>4.3499999999999996</v>
      </c>
      <c r="Z18" s="111">
        <v>4.38</v>
      </c>
      <c r="AA18" s="111">
        <v>4.3899999999999997</v>
      </c>
      <c r="AB18" s="111">
        <v>4.28</v>
      </c>
      <c r="AC18" s="111">
        <v>4.32</v>
      </c>
      <c r="AD18" s="111">
        <v>4.22</v>
      </c>
      <c r="AE18" s="111">
        <v>4.22</v>
      </c>
      <c r="AF18" s="111">
        <v>4.54</v>
      </c>
      <c r="AG18" s="111">
        <v>4.33</v>
      </c>
      <c r="AH18" s="111">
        <v>4.3</v>
      </c>
      <c r="AI18" s="111">
        <v>4.1900000000000004</v>
      </c>
      <c r="AJ18" s="111">
        <v>4.33</v>
      </c>
      <c r="AK18" s="111">
        <v>4.6500000000000004</v>
      </c>
    </row>
    <row r="19" spans="1:37" x14ac:dyDescent="0.25">
      <c r="A19" s="439" t="s">
        <v>330</v>
      </c>
      <c r="B19" s="110">
        <f t="shared" ref="B19:K19" si="15">MAX(C19-0.026,1.5)</f>
        <v>1.6199999999999997</v>
      </c>
      <c r="C19" s="110">
        <f t="shared" si="15"/>
        <v>1.6459999999999997</v>
      </c>
      <c r="D19" s="110">
        <f t="shared" si="15"/>
        <v>1.6719999999999997</v>
      </c>
      <c r="E19" s="110">
        <f t="shared" si="15"/>
        <v>1.6979999999999997</v>
      </c>
      <c r="F19" s="110">
        <f t="shared" si="15"/>
        <v>1.7239999999999998</v>
      </c>
      <c r="G19" s="110">
        <f t="shared" si="15"/>
        <v>1.7499999999999998</v>
      </c>
      <c r="H19" s="110">
        <f t="shared" si="15"/>
        <v>1.7759999999999998</v>
      </c>
      <c r="I19" s="110">
        <f t="shared" si="15"/>
        <v>1.8019999999999998</v>
      </c>
      <c r="J19" s="110">
        <f t="shared" si="15"/>
        <v>1.8279999999999998</v>
      </c>
      <c r="K19" s="110">
        <f t="shared" si="15"/>
        <v>1.8539999999999999</v>
      </c>
      <c r="L19" s="111">
        <v>1.88</v>
      </c>
      <c r="M19" s="111">
        <v>2.2400000000000002</v>
      </c>
      <c r="N19" s="111">
        <v>2.4900000000000002</v>
      </c>
      <c r="O19" s="111">
        <v>2.2599999999999998</v>
      </c>
      <c r="P19" s="111">
        <v>2.2000000000000002</v>
      </c>
      <c r="Q19" s="111">
        <v>2.06</v>
      </c>
      <c r="R19" s="111">
        <v>2.81</v>
      </c>
      <c r="S19" s="111">
        <v>2.67</v>
      </c>
      <c r="T19" s="111">
        <v>2.85</v>
      </c>
      <c r="U19" s="111">
        <v>2.65</v>
      </c>
      <c r="V19" s="111">
        <v>2.92</v>
      </c>
      <c r="W19" s="111">
        <v>3.02</v>
      </c>
      <c r="X19" s="111">
        <v>3.38</v>
      </c>
      <c r="Y19" s="111">
        <v>2.99</v>
      </c>
      <c r="Z19" s="111">
        <v>3.21</v>
      </c>
      <c r="AA19" s="111">
        <v>2.65</v>
      </c>
      <c r="AB19" s="111">
        <v>2.98</v>
      </c>
      <c r="AC19" s="111">
        <v>3.09</v>
      </c>
      <c r="AD19" s="111">
        <v>3.04</v>
      </c>
      <c r="AE19" s="111">
        <v>2.94</v>
      </c>
      <c r="AF19" s="111">
        <v>2.91</v>
      </c>
      <c r="AG19" s="111">
        <v>2.85</v>
      </c>
      <c r="AH19" s="111">
        <v>2.98</v>
      </c>
      <c r="AI19" s="111">
        <v>3.43</v>
      </c>
      <c r="AJ19" s="111">
        <v>3.17</v>
      </c>
      <c r="AK19" s="111">
        <v>3.05</v>
      </c>
    </row>
    <row r="21" spans="1:37" ht="15.6" x14ac:dyDescent="0.25">
      <c r="A21" s="113" t="s">
        <v>331</v>
      </c>
      <c r="B21" s="114"/>
      <c r="C21" s="115">
        <f>(L11-AK11)/25</f>
        <v>-2.5600000000000005E-2</v>
      </c>
      <c r="D21" s="116" t="s">
        <v>332</v>
      </c>
    </row>
    <row r="22" spans="1:37" x14ac:dyDescent="0.25">
      <c r="A22" s="117" t="s">
        <v>333</v>
      </c>
      <c r="B22" s="118"/>
      <c r="C22" s="119">
        <f>(L4/Q4)^(1/5)-1</f>
        <v>1.6153309189155918E-2</v>
      </c>
      <c r="D22" s="120" t="s">
        <v>332</v>
      </c>
    </row>
    <row r="23" spans="1:37" x14ac:dyDescent="0.25">
      <c r="A23" s="121" t="s">
        <v>334</v>
      </c>
      <c r="B23" s="122"/>
      <c r="C23" s="119">
        <f>(E53/E43)^(1/10)-1</f>
        <v>4.6640274614481614E-2</v>
      </c>
      <c r="D23" s="120" t="s">
        <v>332</v>
      </c>
    </row>
    <row r="24" spans="1:37" x14ac:dyDescent="0.25">
      <c r="A24" s="123" t="s">
        <v>335</v>
      </c>
      <c r="B24" s="124"/>
      <c r="C24" s="125"/>
      <c r="D24" s="126"/>
    </row>
    <row r="26" spans="1:37" x14ac:dyDescent="0.25">
      <c r="A26" s="84" t="s">
        <v>336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</row>
    <row r="27" spans="1:37" ht="39" customHeight="1" x14ac:dyDescent="0.25">
      <c r="A27" s="127" t="s">
        <v>337</v>
      </c>
      <c r="B27" s="127" t="s">
        <v>338</v>
      </c>
      <c r="C27" s="127" t="s">
        <v>339</v>
      </c>
      <c r="D27" s="127" t="s">
        <v>340</v>
      </c>
      <c r="E27" s="127" t="s">
        <v>341</v>
      </c>
      <c r="F27" s="128" t="s">
        <v>342</v>
      </c>
      <c r="G27" s="101"/>
      <c r="H27" s="101"/>
      <c r="I27" s="101"/>
      <c r="J27" s="101"/>
      <c r="K27" s="101"/>
      <c r="L27" s="101"/>
      <c r="M27" s="101"/>
      <c r="N27" s="101"/>
      <c r="O27" s="129"/>
    </row>
    <row r="28" spans="1:37" x14ac:dyDescent="0.25">
      <c r="A28" s="130">
        <v>2000</v>
      </c>
      <c r="B28" s="131">
        <v>4988</v>
      </c>
      <c r="C28" s="131">
        <v>3638</v>
      </c>
      <c r="D28" s="131">
        <v>5456</v>
      </c>
      <c r="E28" s="131">
        <v>4000</v>
      </c>
      <c r="F28" s="132">
        <f t="shared" ref="F28:F63" si="16">E28*12</f>
        <v>48000</v>
      </c>
      <c r="G28" s="133" t="s">
        <v>343</v>
      </c>
      <c r="H28" s="134"/>
      <c r="I28" s="134"/>
      <c r="J28" s="98"/>
      <c r="K28" s="98"/>
      <c r="L28" s="98"/>
      <c r="M28" s="98"/>
      <c r="N28" s="98"/>
      <c r="O28" s="98"/>
    </row>
    <row r="29" spans="1:37" x14ac:dyDescent="0.25">
      <c r="A29" s="130">
        <v>2001</v>
      </c>
      <c r="B29" s="131">
        <v>5338</v>
      </c>
      <c r="C29" s="131">
        <v>3860</v>
      </c>
      <c r="D29" s="131">
        <v>5736</v>
      </c>
      <c r="E29" s="131">
        <v>4141</v>
      </c>
      <c r="F29" s="132">
        <f t="shared" si="16"/>
        <v>49692</v>
      </c>
      <c r="G29" s="133" t="s">
        <v>344</v>
      </c>
      <c r="H29" s="134"/>
      <c r="I29" s="134"/>
      <c r="J29" s="98"/>
      <c r="K29" s="98"/>
      <c r="L29" s="98"/>
      <c r="M29" s="98"/>
      <c r="N29" s="98"/>
      <c r="O29" s="98"/>
    </row>
    <row r="30" spans="1:37" x14ac:dyDescent="0.25">
      <c r="A30" s="130">
        <v>2002</v>
      </c>
      <c r="B30" s="131">
        <v>5069</v>
      </c>
      <c r="C30" s="131">
        <v>3628</v>
      </c>
      <c r="D30" s="131">
        <v>5572</v>
      </c>
      <c r="E30" s="131">
        <v>4038</v>
      </c>
      <c r="F30" s="132">
        <f t="shared" si="16"/>
        <v>48456</v>
      </c>
      <c r="G30" s="133" t="s">
        <v>345</v>
      </c>
      <c r="H30" s="134"/>
      <c r="I30" s="134"/>
      <c r="J30" s="98"/>
      <c r="K30" s="98"/>
      <c r="L30" s="98"/>
      <c r="M30" s="98"/>
      <c r="N30" s="98"/>
      <c r="O30" s="98"/>
    </row>
    <row r="31" spans="1:37" x14ac:dyDescent="0.25">
      <c r="A31" s="130">
        <v>2003</v>
      </c>
      <c r="B31" s="131">
        <v>5075</v>
      </c>
      <c r="C31" s="131">
        <v>3601</v>
      </c>
      <c r="D31" s="131">
        <v>5618</v>
      </c>
      <c r="E31" s="131">
        <v>4050</v>
      </c>
      <c r="F31" s="132">
        <f t="shared" si="16"/>
        <v>48600</v>
      </c>
      <c r="G31" s="134"/>
      <c r="H31" s="134"/>
      <c r="I31" s="134"/>
      <c r="J31" s="98"/>
      <c r="K31" s="98"/>
      <c r="L31" s="98"/>
      <c r="M31" s="98"/>
      <c r="N31" s="98"/>
      <c r="O31" s="98"/>
    </row>
    <row r="32" spans="1:37" x14ac:dyDescent="0.25">
      <c r="A32" s="130">
        <v>2004</v>
      </c>
      <c r="B32" s="131">
        <v>5194</v>
      </c>
      <c r="C32" s="131">
        <v>3689</v>
      </c>
      <c r="D32" s="131">
        <v>5761</v>
      </c>
      <c r="E32" s="131">
        <v>4106</v>
      </c>
      <c r="F32" s="132">
        <f t="shared" si="16"/>
        <v>49272</v>
      </c>
      <c r="G32" s="134"/>
      <c r="H32" s="134"/>
      <c r="I32" s="134"/>
      <c r="J32" s="98"/>
      <c r="K32" s="98"/>
      <c r="L32" s="98"/>
      <c r="M32" s="98"/>
      <c r="N32" s="98"/>
      <c r="O32" s="98"/>
    </row>
    <row r="33" spans="1:15" x14ac:dyDescent="0.25">
      <c r="A33" s="130">
        <v>2005</v>
      </c>
      <c r="B33" s="131">
        <v>5447</v>
      </c>
      <c r="C33" s="131">
        <v>3860</v>
      </c>
      <c r="D33" s="131">
        <v>6052</v>
      </c>
      <c r="E33" s="131">
        <v>4345</v>
      </c>
      <c r="F33" s="132">
        <f t="shared" si="16"/>
        <v>52140</v>
      </c>
      <c r="G33" s="134"/>
      <c r="H33" s="134"/>
      <c r="I33" s="134"/>
      <c r="J33" s="98"/>
      <c r="K33" s="98"/>
      <c r="L33" s="98"/>
      <c r="M33" s="98"/>
      <c r="N33" s="98"/>
      <c r="O33" s="98"/>
    </row>
    <row r="34" spans="1:15" x14ac:dyDescent="0.25">
      <c r="A34" s="130">
        <v>2006</v>
      </c>
      <c r="B34" s="131">
        <v>5715</v>
      </c>
      <c r="C34" s="131">
        <v>4000</v>
      </c>
      <c r="D34" s="131">
        <v>6280</v>
      </c>
      <c r="E34" s="131">
        <v>4495</v>
      </c>
      <c r="F34" s="132">
        <f t="shared" si="16"/>
        <v>53940</v>
      </c>
      <c r="G34" s="134"/>
      <c r="H34" s="134"/>
      <c r="I34" s="134"/>
      <c r="J34" s="98"/>
      <c r="K34" s="98"/>
      <c r="L34" s="98"/>
      <c r="M34" s="98"/>
      <c r="N34" s="98"/>
      <c r="O34" s="98"/>
    </row>
    <row r="35" spans="1:15" x14ac:dyDescent="0.25">
      <c r="A35" s="130">
        <v>2007</v>
      </c>
      <c r="B35" s="131">
        <v>6295</v>
      </c>
      <c r="C35" s="131">
        <v>4375</v>
      </c>
      <c r="D35" s="131">
        <v>6889</v>
      </c>
      <c r="E35" s="131">
        <v>4883</v>
      </c>
      <c r="F35" s="132">
        <f t="shared" si="16"/>
        <v>58596</v>
      </c>
      <c r="G35" s="134"/>
      <c r="H35" s="134"/>
      <c r="I35" s="134"/>
      <c r="J35" s="98"/>
      <c r="K35" s="98"/>
      <c r="L35" s="98"/>
      <c r="M35" s="98"/>
      <c r="N35" s="98"/>
      <c r="O35" s="98"/>
    </row>
    <row r="36" spans="1:15" x14ac:dyDescent="0.25">
      <c r="A36" s="130">
        <v>2008</v>
      </c>
      <c r="B36" s="131">
        <v>7086</v>
      </c>
      <c r="C36" s="131">
        <v>4946</v>
      </c>
      <c r="D36" s="131">
        <v>7752</v>
      </c>
      <c r="E36" s="131">
        <v>5475</v>
      </c>
      <c r="F36" s="132">
        <f t="shared" si="16"/>
        <v>65700</v>
      </c>
      <c r="G36" s="134"/>
      <c r="H36" s="134"/>
      <c r="I36" s="134"/>
      <c r="J36" s="98"/>
      <c r="K36" s="98"/>
      <c r="L36" s="98"/>
      <c r="M36" s="98"/>
      <c r="N36" s="98"/>
      <c r="O36" s="98"/>
    </row>
    <row r="37" spans="1:15" x14ac:dyDescent="0.25">
      <c r="A37" s="130">
        <v>2009</v>
      </c>
      <c r="B37" s="131">
        <v>6826</v>
      </c>
      <c r="C37" s="131">
        <v>4850</v>
      </c>
      <c r="D37" s="131">
        <v>7549</v>
      </c>
      <c r="E37" s="131">
        <v>5398</v>
      </c>
      <c r="F37" s="132">
        <f t="shared" si="16"/>
        <v>64776</v>
      </c>
      <c r="G37" s="134"/>
      <c r="H37" s="134"/>
      <c r="I37" s="134"/>
      <c r="J37" s="98"/>
      <c r="K37" s="98"/>
      <c r="L37" s="98"/>
      <c r="M37" s="98"/>
      <c r="N37" s="98"/>
      <c r="O37" s="98"/>
    </row>
    <row r="38" spans="1:15" x14ac:dyDescent="0.25">
      <c r="A38" s="130">
        <v>2010</v>
      </c>
      <c r="B38" s="131">
        <v>7214</v>
      </c>
      <c r="C38" s="131">
        <v>5000</v>
      </c>
      <c r="D38" s="131">
        <v>8058</v>
      </c>
      <c r="E38" s="131">
        <v>5704</v>
      </c>
      <c r="F38" s="132">
        <f t="shared" si="16"/>
        <v>68448</v>
      </c>
      <c r="G38" s="134"/>
      <c r="H38" s="134"/>
      <c r="I38" s="134"/>
      <c r="J38" s="98"/>
      <c r="K38" s="98"/>
      <c r="L38" s="98"/>
      <c r="M38" s="98"/>
      <c r="N38" s="98"/>
      <c r="O38" s="98"/>
    </row>
    <row r="39" spans="1:15" x14ac:dyDescent="0.25">
      <c r="A39" s="130">
        <v>2011</v>
      </c>
      <c r="B39" s="131">
        <v>8039</v>
      </c>
      <c r="C39" s="131">
        <v>5624</v>
      </c>
      <c r="D39" s="131">
        <v>8864</v>
      </c>
      <c r="E39" s="131">
        <v>6286</v>
      </c>
      <c r="F39" s="132">
        <f t="shared" si="16"/>
        <v>75432</v>
      </c>
      <c r="G39" s="134"/>
      <c r="H39" s="134"/>
      <c r="I39" s="134"/>
      <c r="J39" s="98"/>
      <c r="K39" s="98"/>
      <c r="L39" s="98"/>
      <c r="M39" s="98"/>
      <c r="N39" s="98"/>
      <c r="O39" s="98"/>
    </row>
    <row r="40" spans="1:15" x14ac:dyDescent="0.25">
      <c r="A40" s="130">
        <v>2012</v>
      </c>
      <c r="B40" s="131">
        <v>8637</v>
      </c>
      <c r="C40" s="131">
        <v>6000</v>
      </c>
      <c r="D40" s="131">
        <v>9515</v>
      </c>
      <c r="E40" s="131">
        <v>6712</v>
      </c>
      <c r="F40" s="132">
        <f t="shared" si="16"/>
        <v>80544</v>
      </c>
      <c r="G40" s="134"/>
      <c r="H40" s="134"/>
      <c r="I40" s="134"/>
      <c r="J40" s="98"/>
      <c r="K40" s="98"/>
      <c r="L40" s="98"/>
      <c r="M40" s="98"/>
      <c r="N40" s="98"/>
      <c r="O40" s="98"/>
    </row>
    <row r="41" spans="1:15" x14ac:dyDescent="0.25">
      <c r="A41" s="130">
        <v>2013</v>
      </c>
      <c r="B41" s="131">
        <v>8692</v>
      </c>
      <c r="C41" s="131">
        <v>6257</v>
      </c>
      <c r="D41" s="131">
        <v>9597</v>
      </c>
      <c r="E41" s="131">
        <v>7000</v>
      </c>
      <c r="F41" s="132">
        <f t="shared" si="16"/>
        <v>84000</v>
      </c>
      <c r="G41" s="134"/>
      <c r="H41" s="134"/>
      <c r="I41" s="134"/>
      <c r="J41" s="98"/>
      <c r="K41" s="98"/>
      <c r="L41" s="98"/>
      <c r="M41" s="98"/>
      <c r="N41" s="98"/>
      <c r="O41" s="98"/>
    </row>
    <row r="42" spans="1:15" x14ac:dyDescent="0.25">
      <c r="A42" s="130">
        <v>2014</v>
      </c>
      <c r="B42" s="131">
        <v>9176</v>
      </c>
      <c r="C42" s="131">
        <v>6500</v>
      </c>
      <c r="D42" s="131">
        <v>10244</v>
      </c>
      <c r="E42" s="131">
        <v>7400</v>
      </c>
      <c r="F42" s="132">
        <f t="shared" si="16"/>
        <v>88800</v>
      </c>
      <c r="G42" s="134"/>
      <c r="H42" s="134"/>
      <c r="I42" s="134"/>
      <c r="J42" s="98"/>
      <c r="K42" s="98"/>
      <c r="L42" s="98"/>
      <c r="M42" s="98"/>
      <c r="N42" s="98"/>
      <c r="O42" s="98"/>
    </row>
    <row r="43" spans="1:15" x14ac:dyDescent="0.25">
      <c r="A43" s="135">
        <v>2015</v>
      </c>
      <c r="B43" s="136">
        <v>9495</v>
      </c>
      <c r="C43" s="136">
        <v>6819</v>
      </c>
      <c r="D43" s="136">
        <v>10515</v>
      </c>
      <c r="E43" s="136">
        <v>7624</v>
      </c>
      <c r="F43" s="137">
        <f t="shared" si="16"/>
        <v>91488</v>
      </c>
      <c r="G43" s="98"/>
      <c r="H43" s="98"/>
      <c r="I43" s="98"/>
      <c r="J43" s="98"/>
      <c r="K43" s="98"/>
      <c r="L43" s="98"/>
      <c r="M43" s="98"/>
      <c r="N43" s="98"/>
      <c r="O43" s="98"/>
    </row>
    <row r="44" spans="1:15" x14ac:dyDescent="0.25">
      <c r="A44" s="135">
        <v>2016</v>
      </c>
      <c r="B44" s="136">
        <v>9359</v>
      </c>
      <c r="C44" s="136">
        <v>6804</v>
      </c>
      <c r="D44" s="136">
        <v>10493</v>
      </c>
      <c r="E44" s="136">
        <v>7791</v>
      </c>
      <c r="F44" s="137">
        <f t="shared" si="16"/>
        <v>93492</v>
      </c>
      <c r="G44" s="98"/>
      <c r="H44" s="98"/>
      <c r="I44" s="98"/>
      <c r="J44" s="98"/>
      <c r="K44" s="98"/>
      <c r="L44" s="98"/>
      <c r="M44" s="98"/>
      <c r="N44" s="98"/>
      <c r="O44" s="98"/>
    </row>
    <row r="45" spans="1:15" x14ac:dyDescent="0.25">
      <c r="A45" s="135">
        <v>2017</v>
      </c>
      <c r="B45" s="136">
        <v>9633</v>
      </c>
      <c r="C45" s="136">
        <v>6913</v>
      </c>
      <c r="D45" s="136">
        <v>10920</v>
      </c>
      <c r="E45" s="136">
        <v>7956</v>
      </c>
      <c r="F45" s="137">
        <f t="shared" si="16"/>
        <v>95472</v>
      </c>
      <c r="G45" s="98"/>
      <c r="H45" s="98"/>
      <c r="I45" s="98"/>
      <c r="J45" s="98"/>
      <c r="K45" s="98"/>
      <c r="L45" s="98"/>
      <c r="M45" s="98"/>
      <c r="N45" s="98"/>
      <c r="O45" s="98"/>
    </row>
    <row r="46" spans="1:15" x14ac:dyDescent="0.25">
      <c r="A46" s="135">
        <v>2018</v>
      </c>
      <c r="B46" s="136">
        <v>9679</v>
      </c>
      <c r="C46" s="136">
        <v>6984</v>
      </c>
      <c r="D46" s="136">
        <v>11016</v>
      </c>
      <c r="E46" s="136">
        <v>8169</v>
      </c>
      <c r="F46" s="137">
        <f t="shared" si="16"/>
        <v>98028</v>
      </c>
      <c r="G46" s="98"/>
      <c r="H46" s="98"/>
      <c r="I46" s="98"/>
      <c r="J46" s="98"/>
      <c r="K46" s="98"/>
      <c r="L46" s="98"/>
      <c r="M46" s="98"/>
      <c r="N46" s="98"/>
      <c r="O46" s="98"/>
    </row>
    <row r="47" spans="1:15" x14ac:dyDescent="0.25">
      <c r="A47" s="135">
        <v>2019</v>
      </c>
      <c r="B47" s="136">
        <v>9763</v>
      </c>
      <c r="C47" s="136">
        <v>7000</v>
      </c>
      <c r="D47" s="136">
        <v>11250</v>
      </c>
      <c r="E47" s="136">
        <v>8333</v>
      </c>
      <c r="F47" s="137">
        <f t="shared" si="16"/>
        <v>99996</v>
      </c>
      <c r="G47" s="98"/>
      <c r="H47" s="98"/>
      <c r="I47" s="98"/>
      <c r="J47" s="37" t="s">
        <v>346</v>
      </c>
      <c r="K47" s="98"/>
      <c r="L47" s="98"/>
      <c r="M47" s="98"/>
      <c r="N47" s="98"/>
      <c r="O47" s="98"/>
    </row>
    <row r="48" spans="1:15" x14ac:dyDescent="0.25">
      <c r="A48" s="138">
        <v>2020</v>
      </c>
      <c r="B48" s="139">
        <v>9634</v>
      </c>
      <c r="C48" s="139">
        <v>6810</v>
      </c>
      <c r="D48" s="139">
        <v>11111</v>
      </c>
      <c r="E48" s="139">
        <v>8092</v>
      </c>
      <c r="F48" s="140">
        <f t="shared" si="16"/>
        <v>97104</v>
      </c>
      <c r="G48" s="141" t="s">
        <v>347</v>
      </c>
      <c r="H48" s="142"/>
      <c r="I48" s="142"/>
      <c r="J48" s="98"/>
      <c r="K48" s="98"/>
      <c r="L48" s="98"/>
      <c r="M48" s="98"/>
      <c r="N48" s="98"/>
      <c r="O48" s="98"/>
    </row>
    <row r="49" spans="1:15" x14ac:dyDescent="0.25">
      <c r="A49" s="138">
        <v>2021</v>
      </c>
      <c r="B49" s="139">
        <v>9827</v>
      </c>
      <c r="C49" s="139">
        <v>7261</v>
      </c>
      <c r="D49" s="139">
        <v>11137</v>
      </c>
      <c r="E49" s="139">
        <v>8421</v>
      </c>
      <c r="F49" s="140">
        <f t="shared" si="16"/>
        <v>101052</v>
      </c>
      <c r="G49" s="143" t="s">
        <v>348</v>
      </c>
      <c r="H49" s="142"/>
      <c r="I49" s="142"/>
      <c r="J49" s="98"/>
      <c r="K49" s="98"/>
      <c r="L49" s="98"/>
      <c r="M49" s="98"/>
      <c r="N49" s="98"/>
      <c r="O49" s="98"/>
    </row>
    <row r="50" spans="1:15" x14ac:dyDescent="0.25">
      <c r="A50" s="138">
        <v>2022</v>
      </c>
      <c r="B50" s="139">
        <v>10414</v>
      </c>
      <c r="C50" s="139">
        <v>7585</v>
      </c>
      <c r="D50" s="139">
        <v>11906</v>
      </c>
      <c r="E50" s="139">
        <v>8904</v>
      </c>
      <c r="F50" s="140">
        <f t="shared" si="16"/>
        <v>106848</v>
      </c>
      <c r="G50" s="141" t="s">
        <v>349</v>
      </c>
      <c r="H50" s="142"/>
      <c r="I50" s="142"/>
      <c r="J50" s="98"/>
      <c r="K50" s="98"/>
      <c r="L50" s="98"/>
      <c r="M50" s="98"/>
      <c r="N50" s="98"/>
      <c r="O50" s="98"/>
    </row>
    <row r="51" spans="1:15" x14ac:dyDescent="0.25">
      <c r="A51" s="135">
        <v>2023</v>
      </c>
      <c r="B51" s="136">
        <v>11057</v>
      </c>
      <c r="C51" s="136">
        <v>8196</v>
      </c>
      <c r="D51" s="136">
        <v>12673</v>
      </c>
      <c r="E51" s="136">
        <v>9646</v>
      </c>
      <c r="F51" s="137">
        <f t="shared" si="16"/>
        <v>115752</v>
      </c>
      <c r="G51" s="98"/>
      <c r="H51" s="98"/>
      <c r="I51" s="98"/>
      <c r="J51" s="98"/>
      <c r="K51" s="98"/>
      <c r="L51" s="98"/>
      <c r="M51" s="98"/>
      <c r="N51" s="98"/>
      <c r="O51" s="98"/>
    </row>
    <row r="52" spans="1:15" x14ac:dyDescent="0.25">
      <c r="A52" s="135">
        <v>2024</v>
      </c>
      <c r="B52" s="137">
        <v>11629</v>
      </c>
      <c r="C52" s="137">
        <v>8388</v>
      </c>
      <c r="D52" s="137">
        <v>13188</v>
      </c>
      <c r="E52" s="137">
        <v>11314</v>
      </c>
      <c r="F52" s="137">
        <f t="shared" si="16"/>
        <v>135768</v>
      </c>
    </row>
    <row r="53" spans="1:15" x14ac:dyDescent="0.25">
      <c r="A53" s="135">
        <v>2025</v>
      </c>
      <c r="B53" s="137">
        <v>12157</v>
      </c>
      <c r="C53" s="137">
        <v>8742</v>
      </c>
      <c r="D53" s="137">
        <v>13752</v>
      </c>
      <c r="E53" s="137">
        <v>12027</v>
      </c>
      <c r="F53" s="137">
        <f t="shared" si="16"/>
        <v>144324</v>
      </c>
    </row>
    <row r="54" spans="1:15" x14ac:dyDescent="0.25">
      <c r="A54" s="144">
        <v>2026</v>
      </c>
      <c r="B54" s="145">
        <f t="shared" ref="B54:B63" si="17">B53*1.047</f>
        <v>12728.378999999999</v>
      </c>
      <c r="C54" s="145">
        <f t="shared" ref="C54:C63" si="18">C53*1.047</f>
        <v>9152.8739999999998</v>
      </c>
      <c r="D54" s="145">
        <f t="shared" ref="D54:D63" si="19">D53*1.047</f>
        <v>14398.343999999999</v>
      </c>
      <c r="E54" s="145">
        <f t="shared" ref="E54:E63" si="20">E53*1.047</f>
        <v>12592.268999999998</v>
      </c>
      <c r="F54" s="145">
        <f t="shared" si="16"/>
        <v>151107.22799999997</v>
      </c>
    </row>
    <row r="55" spans="1:15" x14ac:dyDescent="0.25">
      <c r="A55" s="144">
        <v>2027</v>
      </c>
      <c r="B55" s="145">
        <f t="shared" si="17"/>
        <v>13326.612812999998</v>
      </c>
      <c r="C55" s="145">
        <f t="shared" si="18"/>
        <v>9583.0590779999984</v>
      </c>
      <c r="D55" s="145">
        <f t="shared" si="19"/>
        <v>15075.066167999998</v>
      </c>
      <c r="E55" s="145">
        <f t="shared" si="20"/>
        <v>13184.105642999997</v>
      </c>
      <c r="F55" s="145">
        <f t="shared" si="16"/>
        <v>158209.26771599997</v>
      </c>
    </row>
    <row r="56" spans="1:15" x14ac:dyDescent="0.25">
      <c r="A56" s="144">
        <v>2028</v>
      </c>
      <c r="B56" s="145">
        <f t="shared" si="17"/>
        <v>13952.963615210996</v>
      </c>
      <c r="C56" s="145">
        <f t="shared" si="18"/>
        <v>10033.462854665997</v>
      </c>
      <c r="D56" s="145">
        <f t="shared" si="19"/>
        <v>15783.594277895996</v>
      </c>
      <c r="E56" s="145">
        <f t="shared" si="20"/>
        <v>13803.758608220996</v>
      </c>
      <c r="F56" s="145">
        <f t="shared" si="16"/>
        <v>165645.10329865196</v>
      </c>
    </row>
    <row r="57" spans="1:15" x14ac:dyDescent="0.25">
      <c r="A57" s="144">
        <v>2029</v>
      </c>
      <c r="B57" s="145">
        <f t="shared" si="17"/>
        <v>14608.752905125912</v>
      </c>
      <c r="C57" s="145">
        <f t="shared" si="18"/>
        <v>10505.035608835298</v>
      </c>
      <c r="D57" s="145">
        <f t="shared" si="19"/>
        <v>16525.423208957105</v>
      </c>
      <c r="E57" s="145">
        <f t="shared" si="20"/>
        <v>14452.535262807382</v>
      </c>
      <c r="F57" s="145">
        <f t="shared" si="16"/>
        <v>173430.42315368858</v>
      </c>
    </row>
    <row r="58" spans="1:15" x14ac:dyDescent="0.25">
      <c r="A58" s="144">
        <v>2030</v>
      </c>
      <c r="B58" s="145">
        <f t="shared" si="17"/>
        <v>15295.364291666829</v>
      </c>
      <c r="C58" s="145">
        <f t="shared" si="18"/>
        <v>10998.772282450556</v>
      </c>
      <c r="D58" s="145">
        <f t="shared" si="19"/>
        <v>17302.118099778087</v>
      </c>
      <c r="E58" s="145">
        <f t="shared" si="20"/>
        <v>15131.804420159327</v>
      </c>
      <c r="F58" s="145">
        <f t="shared" si="16"/>
        <v>181581.65304191192</v>
      </c>
    </row>
    <row r="59" spans="1:15" x14ac:dyDescent="0.25">
      <c r="A59" s="144">
        <v>2031</v>
      </c>
      <c r="B59" s="145">
        <f t="shared" si="17"/>
        <v>16014.246413375169</v>
      </c>
      <c r="C59" s="145">
        <f t="shared" si="18"/>
        <v>11515.714579725731</v>
      </c>
      <c r="D59" s="145">
        <f t="shared" si="19"/>
        <v>18115.317650467656</v>
      </c>
      <c r="E59" s="145">
        <f t="shared" si="20"/>
        <v>15842.999227906816</v>
      </c>
      <c r="F59" s="145">
        <f t="shared" si="16"/>
        <v>190115.99073488178</v>
      </c>
    </row>
    <row r="60" spans="1:15" x14ac:dyDescent="0.25">
      <c r="A60" s="144">
        <v>2032</v>
      </c>
      <c r="B60" s="145">
        <f t="shared" si="17"/>
        <v>16766.9159948038</v>
      </c>
      <c r="C60" s="145">
        <f t="shared" si="18"/>
        <v>12056.95316497284</v>
      </c>
      <c r="D60" s="145">
        <f t="shared" si="19"/>
        <v>18966.737580039633</v>
      </c>
      <c r="E60" s="145">
        <f t="shared" si="20"/>
        <v>16587.620191618436</v>
      </c>
      <c r="F60" s="145">
        <f t="shared" si="16"/>
        <v>199051.44229942124</v>
      </c>
    </row>
    <row r="61" spans="1:15" x14ac:dyDescent="0.25">
      <c r="A61" s="144">
        <v>2033</v>
      </c>
      <c r="B61" s="145">
        <f t="shared" si="17"/>
        <v>17554.961046559576</v>
      </c>
      <c r="C61" s="145">
        <f t="shared" si="18"/>
        <v>12623.629963726562</v>
      </c>
      <c r="D61" s="145">
        <f t="shared" si="19"/>
        <v>19858.174246301496</v>
      </c>
      <c r="E61" s="145">
        <f t="shared" si="20"/>
        <v>17367.238340624503</v>
      </c>
      <c r="F61" s="145">
        <f t="shared" si="16"/>
        <v>208406.86008749402</v>
      </c>
    </row>
    <row r="62" spans="1:15" x14ac:dyDescent="0.25">
      <c r="A62" s="144">
        <v>2034</v>
      </c>
      <c r="B62" s="145">
        <f t="shared" si="17"/>
        <v>18380.044215747876</v>
      </c>
      <c r="C62" s="145">
        <f t="shared" si="18"/>
        <v>13216.940572021709</v>
      </c>
      <c r="D62" s="145">
        <f t="shared" si="19"/>
        <v>20791.508435877666</v>
      </c>
      <c r="E62" s="145">
        <f t="shared" si="20"/>
        <v>18183.498542633854</v>
      </c>
      <c r="F62" s="145">
        <f t="shared" si="16"/>
        <v>218201.98251160624</v>
      </c>
    </row>
    <row r="63" spans="1:15" x14ac:dyDescent="0.25">
      <c r="A63" s="144">
        <v>2035</v>
      </c>
      <c r="B63" s="145">
        <f t="shared" si="17"/>
        <v>19243.906293888023</v>
      </c>
      <c r="C63" s="145">
        <f t="shared" si="18"/>
        <v>13838.136778906728</v>
      </c>
      <c r="D63" s="145">
        <f t="shared" si="19"/>
        <v>21768.709332363913</v>
      </c>
      <c r="E63" s="145">
        <f t="shared" si="20"/>
        <v>19038.122974137645</v>
      </c>
      <c r="F63" s="145">
        <f t="shared" si="16"/>
        <v>228457.47568965174</v>
      </c>
    </row>
    <row r="64" spans="1:15" x14ac:dyDescent="0.25">
      <c r="F64" s="146"/>
    </row>
    <row r="66" spans="1:3" x14ac:dyDescent="0.25">
      <c r="A66" s="37" t="s">
        <v>350</v>
      </c>
      <c r="B66" s="147" t="s">
        <v>351</v>
      </c>
      <c r="C66" s="95" t="s">
        <v>352</v>
      </c>
    </row>
    <row r="67" spans="1:3" x14ac:dyDescent="0.25">
      <c r="A67" s="148">
        <v>2000</v>
      </c>
      <c r="B67" s="149">
        <v>4000</v>
      </c>
      <c r="C67" s="150"/>
    </row>
    <row r="68" spans="1:3" x14ac:dyDescent="0.25">
      <c r="A68" s="148">
        <v>2001</v>
      </c>
      <c r="B68" s="149">
        <v>4141</v>
      </c>
      <c r="C68" s="150"/>
    </row>
    <row r="69" spans="1:3" x14ac:dyDescent="0.25">
      <c r="A69" s="148">
        <v>2002</v>
      </c>
      <c r="B69" s="149">
        <v>4038</v>
      </c>
      <c r="C69" s="150"/>
    </row>
    <row r="70" spans="1:3" x14ac:dyDescent="0.25">
      <c r="A70" s="148">
        <v>2003</v>
      </c>
      <c r="B70" s="149">
        <v>4050</v>
      </c>
      <c r="C70" s="150"/>
    </row>
    <row r="71" spans="1:3" x14ac:dyDescent="0.25">
      <c r="A71" s="148">
        <v>2004</v>
      </c>
      <c r="B71" s="149">
        <v>4106</v>
      </c>
      <c r="C71" s="150"/>
    </row>
    <row r="72" spans="1:3" x14ac:dyDescent="0.25">
      <c r="A72" s="148">
        <v>2005</v>
      </c>
      <c r="B72" s="149">
        <v>4345</v>
      </c>
      <c r="C72" s="150"/>
    </row>
    <row r="73" spans="1:3" x14ac:dyDescent="0.25">
      <c r="A73" s="148">
        <v>2006</v>
      </c>
      <c r="B73" s="149">
        <v>4495</v>
      </c>
      <c r="C73" s="150"/>
    </row>
    <row r="74" spans="1:3" x14ac:dyDescent="0.25">
      <c r="A74" s="148">
        <v>2007</v>
      </c>
      <c r="B74" s="149">
        <v>4883</v>
      </c>
      <c r="C74" s="150"/>
    </row>
    <row r="75" spans="1:3" x14ac:dyDescent="0.25">
      <c r="A75" s="148">
        <v>2008</v>
      </c>
      <c r="B75" s="149">
        <v>5475</v>
      </c>
      <c r="C75" s="150"/>
    </row>
    <row r="76" spans="1:3" x14ac:dyDescent="0.25">
      <c r="A76" s="148">
        <v>2009</v>
      </c>
      <c r="B76" s="149">
        <v>5398</v>
      </c>
      <c r="C76" s="150"/>
    </row>
    <row r="77" spans="1:3" x14ac:dyDescent="0.25">
      <c r="A77" s="148">
        <v>2010</v>
      </c>
      <c r="B77" s="149">
        <v>5704</v>
      </c>
      <c r="C77" s="150"/>
    </row>
    <row r="78" spans="1:3" x14ac:dyDescent="0.25">
      <c r="A78" s="148">
        <v>2011</v>
      </c>
      <c r="B78" s="149">
        <v>6286</v>
      </c>
      <c r="C78" s="150"/>
    </row>
    <row r="79" spans="1:3" x14ac:dyDescent="0.25">
      <c r="A79" s="148">
        <v>2012</v>
      </c>
      <c r="B79" s="149">
        <v>6712</v>
      </c>
      <c r="C79" s="150"/>
    </row>
    <row r="80" spans="1:3" x14ac:dyDescent="0.25">
      <c r="A80" s="148">
        <v>2013</v>
      </c>
      <c r="B80" s="149">
        <v>7000</v>
      </c>
      <c r="C80" s="150"/>
    </row>
    <row r="81" spans="1:3" x14ac:dyDescent="0.25">
      <c r="A81" s="148">
        <v>2014</v>
      </c>
      <c r="B81" s="149">
        <v>7400</v>
      </c>
      <c r="C81" s="150"/>
    </row>
    <row r="82" spans="1:3" x14ac:dyDescent="0.25">
      <c r="A82" s="148">
        <v>2015</v>
      </c>
      <c r="B82" s="149">
        <v>7624</v>
      </c>
      <c r="C82" s="150"/>
    </row>
    <row r="83" spans="1:3" x14ac:dyDescent="0.25">
      <c r="A83" s="148">
        <v>2016</v>
      </c>
      <c r="B83" s="149">
        <v>7791</v>
      </c>
      <c r="C83" s="150"/>
    </row>
    <row r="84" spans="1:3" x14ac:dyDescent="0.25">
      <c r="A84" s="148">
        <v>2017</v>
      </c>
      <c r="B84" s="149">
        <v>7956</v>
      </c>
      <c r="C84" s="150"/>
    </row>
    <row r="85" spans="1:3" x14ac:dyDescent="0.25">
      <c r="A85" s="148">
        <v>2018</v>
      </c>
      <c r="B85" s="149">
        <v>8169</v>
      </c>
      <c r="C85" s="150"/>
    </row>
    <row r="86" spans="1:3" x14ac:dyDescent="0.25">
      <c r="A86" s="148">
        <v>2019</v>
      </c>
      <c r="B86" s="149">
        <v>8333</v>
      </c>
      <c r="C86" s="150"/>
    </row>
    <row r="87" spans="1:3" x14ac:dyDescent="0.25">
      <c r="A87" s="148">
        <v>2020</v>
      </c>
      <c r="B87" s="149">
        <v>8092</v>
      </c>
      <c r="C87" s="150"/>
    </row>
    <row r="88" spans="1:3" x14ac:dyDescent="0.25">
      <c r="A88" s="148">
        <v>2021</v>
      </c>
      <c r="B88" s="149">
        <v>8421</v>
      </c>
      <c r="C88" s="150"/>
    </row>
    <row r="89" spans="1:3" x14ac:dyDescent="0.25">
      <c r="A89" s="148">
        <v>2022</v>
      </c>
      <c r="B89" s="149">
        <v>8904</v>
      </c>
      <c r="C89" s="150"/>
    </row>
    <row r="90" spans="1:3" x14ac:dyDescent="0.25">
      <c r="A90" s="148">
        <v>2023</v>
      </c>
      <c r="B90" s="149">
        <v>9646</v>
      </c>
      <c r="C90" s="150"/>
    </row>
    <row r="91" spans="1:3" x14ac:dyDescent="0.25">
      <c r="A91" s="148">
        <v>2024</v>
      </c>
      <c r="B91" s="149">
        <v>11314</v>
      </c>
      <c r="C91" s="150"/>
    </row>
    <row r="92" spans="1:3" x14ac:dyDescent="0.25">
      <c r="A92" s="148">
        <v>2025</v>
      </c>
      <c r="B92" s="149">
        <v>12027</v>
      </c>
      <c r="C92" s="151">
        <v>12027</v>
      </c>
    </row>
    <row r="93" spans="1:3" x14ac:dyDescent="0.25">
      <c r="A93" s="148">
        <v>2026</v>
      </c>
      <c r="B93" s="152"/>
      <c r="C93" s="151">
        <f t="shared" ref="C93:C102" si="21">C92*1.047</f>
        <v>12592.268999999998</v>
      </c>
    </row>
    <row r="94" spans="1:3" x14ac:dyDescent="0.25">
      <c r="A94" s="148">
        <v>2027</v>
      </c>
      <c r="B94" s="152"/>
      <c r="C94" s="151">
        <f t="shared" si="21"/>
        <v>13184.105642999997</v>
      </c>
    </row>
    <row r="95" spans="1:3" x14ac:dyDescent="0.25">
      <c r="A95" s="148">
        <v>2028</v>
      </c>
      <c r="B95" s="152"/>
      <c r="C95" s="151">
        <f t="shared" si="21"/>
        <v>13803.758608220996</v>
      </c>
    </row>
    <row r="96" spans="1:3" x14ac:dyDescent="0.25">
      <c r="A96" s="148">
        <v>2029</v>
      </c>
      <c r="B96" s="152"/>
      <c r="C96" s="151">
        <f t="shared" si="21"/>
        <v>14452.535262807382</v>
      </c>
    </row>
    <row r="97" spans="1:3" x14ac:dyDescent="0.25">
      <c r="A97" s="148">
        <v>2030</v>
      </c>
      <c r="B97" s="152"/>
      <c r="C97" s="151">
        <f t="shared" si="21"/>
        <v>15131.804420159327</v>
      </c>
    </row>
    <row r="98" spans="1:3" x14ac:dyDescent="0.25">
      <c r="A98" s="148">
        <v>2031</v>
      </c>
      <c r="B98" s="152"/>
      <c r="C98" s="151">
        <f t="shared" si="21"/>
        <v>15842.999227906816</v>
      </c>
    </row>
    <row r="99" spans="1:3" x14ac:dyDescent="0.25">
      <c r="A99" s="148">
        <v>2032</v>
      </c>
      <c r="B99" s="152"/>
      <c r="C99" s="151">
        <f t="shared" si="21"/>
        <v>16587.620191618436</v>
      </c>
    </row>
    <row r="100" spans="1:3" x14ac:dyDescent="0.25">
      <c r="A100" s="148">
        <v>2033</v>
      </c>
      <c r="B100" s="152"/>
      <c r="C100" s="151">
        <f t="shared" si="21"/>
        <v>17367.238340624503</v>
      </c>
    </row>
    <row r="101" spans="1:3" x14ac:dyDescent="0.25">
      <c r="A101" s="148">
        <v>2034</v>
      </c>
      <c r="B101" s="152"/>
      <c r="C101" s="151">
        <f t="shared" si="21"/>
        <v>18183.498542633854</v>
      </c>
    </row>
    <row r="102" spans="1:3" x14ac:dyDescent="0.25">
      <c r="A102" s="148">
        <v>2035</v>
      </c>
      <c r="B102" s="152"/>
      <c r="C102" s="151">
        <f t="shared" si="21"/>
        <v>19038.122974137645</v>
      </c>
    </row>
  </sheetData>
  <mergeCells count="1">
    <mergeCell ref="A3:XFD3"/>
  </mergeCells>
  <pageMargins left="0.7" right="0.7" top="0.75" bottom="0.75" header="0.3" footer="0.3"/>
  <pageSetup paperSize="9"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8E6A-525A-40F5-8B50-67641975E6C1}">
  <dimension ref="A1:AF50"/>
  <sheetViews>
    <sheetView workbookViewId="0"/>
  </sheetViews>
  <sheetFormatPr defaultColWidth="8.88671875" defaultRowHeight="13.2" x14ac:dyDescent="0.25"/>
  <cols>
    <col min="1" max="1" width="44.88671875" style="37" customWidth="1"/>
    <col min="2" max="2" width="15.44140625" style="37" customWidth="1"/>
    <col min="3" max="3" width="8.88671875" style="37"/>
    <col min="4" max="4" width="1.88671875" style="37" customWidth="1"/>
    <col min="5" max="5" width="27" style="37" customWidth="1"/>
    <col min="6" max="6" width="30.44140625" style="37" customWidth="1"/>
    <col min="7" max="8" width="15" style="37" bestFit="1" customWidth="1"/>
    <col min="9" max="16" width="13.44140625" style="37" customWidth="1"/>
    <col min="17" max="27" width="8.88671875" style="37"/>
    <col min="28" max="28" width="10.88671875" style="37" customWidth="1"/>
    <col min="29" max="29" width="21.88671875" style="37" customWidth="1"/>
    <col min="30" max="30" width="24.6640625" style="37" bestFit="1" customWidth="1"/>
    <col min="31" max="31" width="24.109375" style="37" bestFit="1" customWidth="1"/>
    <col min="32" max="32" width="19.6640625" style="37" customWidth="1"/>
    <col min="33" max="33" width="14.88671875" style="37" bestFit="1" customWidth="1"/>
    <col min="34" max="16384" width="8.88671875" style="37"/>
  </cols>
  <sheetData>
    <row r="1" spans="1:11" x14ac:dyDescent="0.25">
      <c r="A1" s="84" t="s">
        <v>353</v>
      </c>
      <c r="E1" s="84" t="s">
        <v>354</v>
      </c>
    </row>
    <row r="2" spans="1:11" x14ac:dyDescent="0.25">
      <c r="A2" s="37" t="s">
        <v>355</v>
      </c>
      <c r="E2" s="517" t="s">
        <v>356</v>
      </c>
      <c r="F2" s="517"/>
      <c r="G2" s="517"/>
      <c r="H2" s="517"/>
      <c r="I2" s="517"/>
    </row>
    <row r="3" spans="1:11" ht="17.25" customHeight="1" x14ac:dyDescent="0.25">
      <c r="A3" s="85" t="s">
        <v>357</v>
      </c>
      <c r="B3" s="86" t="s">
        <v>358</v>
      </c>
      <c r="C3" s="84"/>
      <c r="E3" s="87" t="s">
        <v>359</v>
      </c>
      <c r="F3" s="87" t="s">
        <v>360</v>
      </c>
      <c r="G3" s="87" t="s">
        <v>361</v>
      </c>
      <c r="H3" s="87" t="s">
        <v>362</v>
      </c>
      <c r="I3" s="87" t="s">
        <v>363</v>
      </c>
      <c r="J3" s="37" t="s">
        <v>364</v>
      </c>
    </row>
    <row r="4" spans="1:11" ht="26.4" x14ac:dyDescent="0.25">
      <c r="A4" s="37" t="s">
        <v>365</v>
      </c>
      <c r="B4" s="88">
        <v>0.8</v>
      </c>
      <c r="E4" s="89" t="s">
        <v>366</v>
      </c>
      <c r="F4" s="90">
        <f>'M3 Healthcare Budget'!L6</f>
        <v>7518.12</v>
      </c>
      <c r="G4" s="90">
        <f>'M3 Healthcare Budget'!L6</f>
        <v>7518.12</v>
      </c>
      <c r="H4" s="90">
        <f>'M3 Healthcare Budget'!L6</f>
        <v>7518.12</v>
      </c>
      <c r="I4" s="91" t="s">
        <v>367</v>
      </c>
      <c r="J4" s="37" t="s">
        <v>368</v>
      </c>
    </row>
    <row r="5" spans="1:11" ht="26.25" customHeight="1" x14ac:dyDescent="0.25">
      <c r="A5" s="37" t="s">
        <v>369</v>
      </c>
      <c r="B5" s="88">
        <v>0.5</v>
      </c>
      <c r="E5" s="89" t="s">
        <v>370</v>
      </c>
      <c r="F5" s="92">
        <v>0.04</v>
      </c>
      <c r="G5" s="92">
        <f>('M3 Healthcare Budget'!B6/'M3 Healthcare Budget'!L6)^(1/10)-1</f>
        <v>5.7529958625164968E-2</v>
      </c>
      <c r="H5" s="92">
        <v>0.09</v>
      </c>
      <c r="I5" s="91" t="s">
        <v>371</v>
      </c>
      <c r="J5" s="78" t="s">
        <v>372</v>
      </c>
      <c r="K5" s="78"/>
    </row>
    <row r="6" spans="1:11" ht="26.4" x14ac:dyDescent="0.25">
      <c r="A6" s="37" t="s">
        <v>373</v>
      </c>
      <c r="B6" s="88">
        <v>0.8</v>
      </c>
      <c r="E6" s="89" t="s">
        <v>374</v>
      </c>
      <c r="F6" s="92">
        <f>'M3 Healthcare Costs'!M5</f>
        <v>2.7000000000000027E-2</v>
      </c>
      <c r="G6" s="92">
        <f>'M3 Healthcare Costs'!M5</f>
        <v>2.7000000000000027E-2</v>
      </c>
      <c r="H6" s="92">
        <f>'M3 Healthcare Costs'!M5</f>
        <v>2.7000000000000027E-2</v>
      </c>
      <c r="I6" s="91" t="s">
        <v>371</v>
      </c>
    </row>
    <row r="7" spans="1:11" x14ac:dyDescent="0.25">
      <c r="A7" s="37" t="s">
        <v>375</v>
      </c>
      <c r="B7" s="88">
        <v>0.75</v>
      </c>
      <c r="E7" s="89" t="s">
        <v>376</v>
      </c>
      <c r="F7" s="93">
        <v>0.55000000000000004</v>
      </c>
      <c r="G7" s="93">
        <f>B13</f>
        <v>0.64999999999999991</v>
      </c>
      <c r="H7" s="93">
        <v>0.75</v>
      </c>
      <c r="I7" s="91" t="s">
        <v>377</v>
      </c>
    </row>
    <row r="8" spans="1:11" ht="26.4" x14ac:dyDescent="0.25">
      <c r="A8" s="37" t="s">
        <v>378</v>
      </c>
      <c r="B8" s="88">
        <v>0.7</v>
      </c>
      <c r="E8" s="89" t="s">
        <v>379</v>
      </c>
      <c r="F8" s="94">
        <f>'M4 Household data'!L4</f>
        <v>1487100</v>
      </c>
      <c r="G8" s="94">
        <f>'M4 Household data'!L4</f>
        <v>1487100</v>
      </c>
      <c r="H8" s="94">
        <f>'M4 Household data'!L4</f>
        <v>1487100</v>
      </c>
      <c r="I8" s="91" t="s">
        <v>380</v>
      </c>
    </row>
    <row r="9" spans="1:11" x14ac:dyDescent="0.25">
      <c r="A9" s="37" t="s">
        <v>381</v>
      </c>
      <c r="B9" s="88">
        <v>0.65</v>
      </c>
      <c r="E9" s="89" t="s">
        <v>382</v>
      </c>
      <c r="F9" s="92">
        <v>1.2E-2</v>
      </c>
      <c r="G9" s="92">
        <f>'M4 Household data'!C22</f>
        <v>1.6153309189155918E-2</v>
      </c>
      <c r="H9" s="92">
        <v>0.02</v>
      </c>
      <c r="I9" s="91" t="s">
        <v>371</v>
      </c>
    </row>
    <row r="10" spans="1:11" ht="26.4" x14ac:dyDescent="0.25">
      <c r="A10" s="37" t="s">
        <v>383</v>
      </c>
      <c r="B10" s="88">
        <v>0.6</v>
      </c>
      <c r="E10" s="89" t="s">
        <v>384</v>
      </c>
      <c r="F10" s="94">
        <f>'M4 Household data'!E53</f>
        <v>12027</v>
      </c>
      <c r="G10" s="94">
        <f>'M4 Household data'!E53</f>
        <v>12027</v>
      </c>
      <c r="H10" s="94">
        <f>'M4 Household data'!E53</f>
        <v>12027</v>
      </c>
      <c r="I10" s="91" t="s">
        <v>385</v>
      </c>
    </row>
    <row r="11" spans="1:11" x14ac:dyDescent="0.25">
      <c r="A11" s="37" t="s">
        <v>386</v>
      </c>
      <c r="B11" s="88">
        <v>0.55000000000000004</v>
      </c>
      <c r="E11" s="429" t="s">
        <v>387</v>
      </c>
      <c r="F11" s="430">
        <v>0.03</v>
      </c>
      <c r="G11" s="430">
        <f>'M4 Household data'!C23</f>
        <v>4.6640274614481614E-2</v>
      </c>
      <c r="H11" s="430">
        <v>0.06</v>
      </c>
      <c r="I11" s="431" t="s">
        <v>371</v>
      </c>
    </row>
    <row r="12" spans="1:11" x14ac:dyDescent="0.25">
      <c r="A12" s="37" t="s">
        <v>388</v>
      </c>
      <c r="B12" s="88">
        <v>0.5</v>
      </c>
      <c r="E12" s="427"/>
      <c r="F12" s="428"/>
      <c r="G12" s="428"/>
      <c r="H12" s="428"/>
      <c r="I12" s="427"/>
    </row>
    <row r="13" spans="1:11" x14ac:dyDescent="0.25">
      <c r="A13" s="95" t="s">
        <v>389</v>
      </c>
      <c r="B13" s="96">
        <f>AVERAGE(B4:B12)</f>
        <v>0.64999999999999991</v>
      </c>
    </row>
    <row r="14" spans="1:11" ht="43.5" customHeight="1" x14ac:dyDescent="0.25">
      <c r="A14" s="519" t="s">
        <v>390</v>
      </c>
      <c r="B14" s="519"/>
    </row>
    <row r="15" spans="1:11" ht="15.75" customHeight="1" x14ac:dyDescent="0.25"/>
    <row r="16" spans="1:11" x14ac:dyDescent="0.25">
      <c r="A16" s="37" t="s">
        <v>391</v>
      </c>
    </row>
    <row r="17" spans="1:16" x14ac:dyDescent="0.25">
      <c r="A17" s="85" t="s">
        <v>357</v>
      </c>
      <c r="B17" s="86" t="s">
        <v>358</v>
      </c>
    </row>
    <row r="18" spans="1:16" ht="33" customHeight="1" x14ac:dyDescent="0.25">
      <c r="A18" s="37" t="s">
        <v>365</v>
      </c>
      <c r="B18" s="88">
        <v>0.5</v>
      </c>
    </row>
    <row r="19" spans="1:16" x14ac:dyDescent="0.25">
      <c r="A19" s="37" t="s">
        <v>369</v>
      </c>
      <c r="B19" s="88">
        <v>0.35</v>
      </c>
    </row>
    <row r="20" spans="1:16" x14ac:dyDescent="0.25">
      <c r="A20" s="37" t="s">
        <v>373</v>
      </c>
      <c r="B20" s="88">
        <v>0.5</v>
      </c>
    </row>
    <row r="21" spans="1:16" x14ac:dyDescent="0.25">
      <c r="A21" s="37" t="s">
        <v>375</v>
      </c>
      <c r="B21" s="97">
        <v>0.47499999999999998</v>
      </c>
      <c r="E21" s="84" t="s">
        <v>392</v>
      </c>
    </row>
    <row r="22" spans="1:16" x14ac:dyDescent="0.25">
      <c r="A22" s="37" t="s">
        <v>378</v>
      </c>
      <c r="B22" s="88">
        <v>0.45</v>
      </c>
      <c r="E22" s="518" t="s">
        <v>393</v>
      </c>
      <c r="F22" s="518"/>
      <c r="G22" s="518"/>
      <c r="H22" s="518"/>
      <c r="I22" s="518"/>
      <c r="J22" s="518"/>
      <c r="K22" s="518"/>
      <c r="L22" s="518"/>
      <c r="M22" s="518"/>
      <c r="N22" s="518"/>
      <c r="O22" s="518"/>
      <c r="P22" s="518"/>
    </row>
    <row r="23" spans="1:16" x14ac:dyDescent="0.25">
      <c r="A23" s="37" t="s">
        <v>381</v>
      </c>
      <c r="B23" s="97">
        <v>0.42499999999999999</v>
      </c>
      <c r="E23" s="523" t="s">
        <v>242</v>
      </c>
      <c r="F23" s="524"/>
      <c r="G23" s="87">
        <v>2026</v>
      </c>
      <c r="H23" s="87">
        <v>2027</v>
      </c>
      <c r="I23" s="87">
        <v>2028</v>
      </c>
      <c r="J23" s="87">
        <v>2029</v>
      </c>
      <c r="K23" s="87">
        <v>2030</v>
      </c>
      <c r="L23" s="87">
        <v>2031</v>
      </c>
      <c r="M23" s="87">
        <v>2032</v>
      </c>
      <c r="N23" s="87">
        <v>2033</v>
      </c>
      <c r="O23" s="87">
        <v>2034</v>
      </c>
      <c r="P23" s="87">
        <v>2035</v>
      </c>
    </row>
    <row r="24" spans="1:16" ht="30.75" customHeight="1" x14ac:dyDescent="0.25">
      <c r="A24" s="37" t="s">
        <v>383</v>
      </c>
      <c r="B24" s="88">
        <v>0.4</v>
      </c>
      <c r="E24" s="525" t="s">
        <v>394</v>
      </c>
      <c r="F24" s="525"/>
      <c r="G24" s="406">
        <f>'M3 Healthcare Budget'!K6</f>
        <v>8005.5199999999259</v>
      </c>
      <c r="H24" s="406">
        <f>'M3 Healthcare Budget'!J6</f>
        <v>8577.4999999998145</v>
      </c>
      <c r="I24" s="406">
        <f>'M3 Healthcare Budget'!I6</f>
        <v>9149.4799999998886</v>
      </c>
      <c r="J24" s="406">
        <f>'M3 Healthcare Budget'!H6</f>
        <v>9721.4599999999627</v>
      </c>
      <c r="K24" s="406">
        <f>'M3 Healthcare Budget'!G6</f>
        <v>10293.439999999851</v>
      </c>
      <c r="L24" s="406">
        <f>'M3 Healthcare Budget'!F6</f>
        <v>10865.419999999925</v>
      </c>
      <c r="M24" s="406">
        <f>'M3 Healthcare Budget'!E6</f>
        <v>11437.399999999814</v>
      </c>
      <c r="N24" s="406">
        <f>'M3 Healthcare Budget'!D6</f>
        <v>12009.379999999888</v>
      </c>
      <c r="O24" s="406">
        <f>'M3 Healthcare Budget'!C6</f>
        <v>12581.359999999964</v>
      </c>
      <c r="P24" s="406">
        <f>'M3 Healthcare Budget'!B6</f>
        <v>13153.339999999851</v>
      </c>
    </row>
    <row r="25" spans="1:16" x14ac:dyDescent="0.25">
      <c r="A25" s="37" t="s">
        <v>386</v>
      </c>
      <c r="B25" s="97">
        <v>0.375</v>
      </c>
      <c r="E25" s="526" t="s">
        <v>395</v>
      </c>
      <c r="F25" s="526"/>
      <c r="G25" s="432">
        <f>'M3 Healthcare Costs'!B19</f>
        <v>7975.5627275460765</v>
      </c>
      <c r="H25" s="99">
        <f>'M3 Healthcare Costs'!C19</f>
        <v>8463.9815670859953</v>
      </c>
      <c r="I25" s="99">
        <f>'M3 Healthcare Costs'!D19</f>
        <v>8988.1771252850194</v>
      </c>
      <c r="J25" s="99">
        <f>'M3 Healthcare Costs'!E19</f>
        <v>9552.8979975677175</v>
      </c>
      <c r="K25" s="99">
        <f>'M3 Healthcare Costs'!F19</f>
        <v>10163.089408911366</v>
      </c>
      <c r="L25" s="99">
        <f>'M3 Healthcare Costs'!G19</f>
        <v>10824.084706334916</v>
      </c>
      <c r="M25" s="99">
        <f>'M3 Healthcare Costs'!H19</f>
        <v>11541.76375517626</v>
      </c>
      <c r="N25" s="99">
        <f>'M3 Healthcare Costs'!I19</f>
        <v>12322.69363426137</v>
      </c>
      <c r="O25" s="99">
        <f>'M3 Healthcare Costs'!J19</f>
        <v>13174.262425739587</v>
      </c>
      <c r="P25" s="99">
        <f>'M3 Healthcare Costs'!K19</f>
        <v>14104.814160089212</v>
      </c>
    </row>
    <row r="26" spans="1:16" x14ac:dyDescent="0.25">
      <c r="A26" s="37" t="s">
        <v>388</v>
      </c>
      <c r="B26" s="88">
        <v>0.35</v>
      </c>
      <c r="E26" s="526" t="s">
        <v>396</v>
      </c>
      <c r="F26" s="526"/>
      <c r="G26" s="432">
        <f>G25-G24</f>
        <v>-29.957272453849328</v>
      </c>
      <c r="H26" s="99">
        <f t="shared" ref="H26:P26" si="0">H25-H24</f>
        <v>-113.5184329138192</v>
      </c>
      <c r="I26" s="99">
        <f t="shared" si="0"/>
        <v>-161.30287471486918</v>
      </c>
      <c r="J26" s="99">
        <f t="shared" si="0"/>
        <v>-168.56200243224521</v>
      </c>
      <c r="K26" s="99">
        <f>K25-K24</f>
        <v>-130.35059108848509</v>
      </c>
      <c r="L26" s="99">
        <f t="shared" si="0"/>
        <v>-41.335293665009885</v>
      </c>
      <c r="M26" s="99">
        <f t="shared" si="0"/>
        <v>104.36375517644592</v>
      </c>
      <c r="N26" s="99">
        <f t="shared" si="0"/>
        <v>313.31363426148164</v>
      </c>
      <c r="O26" s="99">
        <f t="shared" si="0"/>
        <v>592.90242573962314</v>
      </c>
      <c r="P26" s="99">
        <f t="shared" si="0"/>
        <v>951.47416008936125</v>
      </c>
    </row>
    <row r="27" spans="1:16" x14ac:dyDescent="0.25">
      <c r="A27" s="95" t="s">
        <v>389</v>
      </c>
      <c r="B27" s="96">
        <f>AVERAGE(B18:B26)</f>
        <v>0.42500000000000004</v>
      </c>
      <c r="E27" s="526" t="s">
        <v>397</v>
      </c>
      <c r="F27" s="526"/>
      <c r="G27" s="100">
        <f>(G26/G24)</f>
        <v>-3.7420770235849269E-3</v>
      </c>
      <c r="H27" s="100">
        <f t="shared" ref="H27:P27" si="1">(H26/H24)</f>
        <v>-1.3234442776312638E-2</v>
      </c>
      <c r="I27" s="100">
        <f t="shared" si="1"/>
        <v>-1.7629731385266828E-2</v>
      </c>
      <c r="J27" s="100">
        <f t="shared" si="1"/>
        <v>-1.7339165355023407E-2</v>
      </c>
      <c r="K27" s="100">
        <f t="shared" si="1"/>
        <v>-1.2663462466239369E-2</v>
      </c>
      <c r="L27" s="100">
        <f t="shared" si="1"/>
        <v>-3.8042978241991723E-3</v>
      </c>
      <c r="M27" s="100">
        <f t="shared" si="1"/>
        <v>9.124779685632016E-3</v>
      </c>
      <c r="N27" s="100">
        <f t="shared" si="1"/>
        <v>2.6089076560279093E-2</v>
      </c>
      <c r="O27" s="100">
        <f t="shared" si="1"/>
        <v>4.7125463840127363E-2</v>
      </c>
      <c r="P27" s="100">
        <f t="shared" si="1"/>
        <v>7.2337076369148212E-2</v>
      </c>
    </row>
    <row r="28" spans="1:16" ht="12.9" customHeight="1" x14ac:dyDescent="0.25">
      <c r="F28" s="101"/>
      <c r="G28" s="533" t="s">
        <v>398</v>
      </c>
      <c r="H28" s="533"/>
      <c r="I28" s="533"/>
      <c r="J28" s="533"/>
      <c r="K28" s="533"/>
      <c r="L28" s="533"/>
      <c r="M28" s="520" t="s">
        <v>399</v>
      </c>
      <c r="N28" s="520"/>
      <c r="O28" s="520"/>
      <c r="P28" s="520"/>
    </row>
    <row r="29" spans="1:16" x14ac:dyDescent="0.25">
      <c r="A29" s="37" t="s">
        <v>400</v>
      </c>
    </row>
    <row r="30" spans="1:16" ht="15" customHeight="1" x14ac:dyDescent="0.25">
      <c r="E30" s="529" t="s">
        <v>401</v>
      </c>
      <c r="F30" s="530"/>
      <c r="G30" s="529"/>
      <c r="H30" s="529"/>
      <c r="I30" s="529"/>
      <c r="J30" s="529"/>
      <c r="K30" s="529"/>
      <c r="L30" s="529"/>
      <c r="M30" s="529"/>
      <c r="N30" s="529"/>
      <c r="O30" s="529"/>
      <c r="P30" s="529"/>
    </row>
    <row r="31" spans="1:16" x14ac:dyDescent="0.25">
      <c r="E31" s="531" t="s">
        <v>242</v>
      </c>
      <c r="F31" s="532"/>
      <c r="G31" s="87">
        <v>2026</v>
      </c>
      <c r="H31" s="87">
        <v>2027</v>
      </c>
      <c r="I31" s="87">
        <v>2028</v>
      </c>
      <c r="J31" s="87">
        <v>2029</v>
      </c>
      <c r="K31" s="87">
        <v>2030</v>
      </c>
      <c r="L31" s="87">
        <v>2031</v>
      </c>
      <c r="M31" s="87">
        <v>2032</v>
      </c>
      <c r="N31" s="87">
        <v>2033</v>
      </c>
      <c r="O31" s="87">
        <v>2034</v>
      </c>
      <c r="P31" s="87">
        <v>2035</v>
      </c>
    </row>
    <row r="32" spans="1:16" ht="30.75" customHeight="1" x14ac:dyDescent="0.25">
      <c r="E32" s="527" t="s">
        <v>402</v>
      </c>
      <c r="F32" s="527"/>
      <c r="G32" s="102">
        <f t="shared" ref="G32:P32" si="2">G25</f>
        <v>7975.5627275460765</v>
      </c>
      <c r="H32" s="102">
        <f t="shared" si="2"/>
        <v>8463.9815670859953</v>
      </c>
      <c r="I32" s="102">
        <f t="shared" si="2"/>
        <v>8988.1771252850194</v>
      </c>
      <c r="J32" s="102">
        <f t="shared" si="2"/>
        <v>9552.8979975677175</v>
      </c>
      <c r="K32" s="102">
        <f t="shared" si="2"/>
        <v>10163.089408911366</v>
      </c>
      <c r="L32" s="102">
        <f t="shared" si="2"/>
        <v>10824.084706334916</v>
      </c>
      <c r="M32" s="102">
        <f t="shared" si="2"/>
        <v>11541.76375517626</v>
      </c>
      <c r="N32" s="102">
        <f t="shared" si="2"/>
        <v>12322.69363426137</v>
      </c>
      <c r="O32" s="102">
        <f t="shared" si="2"/>
        <v>13174.262425739587</v>
      </c>
      <c r="P32" s="102">
        <f t="shared" si="2"/>
        <v>14104.814160089212</v>
      </c>
    </row>
    <row r="33" spans="5:32" x14ac:dyDescent="0.25">
      <c r="E33" s="521" t="s">
        <v>403</v>
      </c>
      <c r="F33" s="521"/>
      <c r="G33" s="442">
        <f t="shared" ref="G33:P33" si="3">IF($Q$33="Low",0.55,IF($Q$33="High",0.75,0.65))</f>
        <v>0.75</v>
      </c>
      <c r="H33" s="442">
        <f t="shared" si="3"/>
        <v>0.75</v>
      </c>
      <c r="I33" s="442">
        <f t="shared" si="3"/>
        <v>0.75</v>
      </c>
      <c r="J33" s="442">
        <f t="shared" si="3"/>
        <v>0.75</v>
      </c>
      <c r="K33" s="442">
        <f t="shared" si="3"/>
        <v>0.75</v>
      </c>
      <c r="L33" s="442">
        <f t="shared" si="3"/>
        <v>0.75</v>
      </c>
      <c r="M33" s="442">
        <f t="shared" si="3"/>
        <v>0.75</v>
      </c>
      <c r="N33" s="442">
        <f t="shared" si="3"/>
        <v>0.75</v>
      </c>
      <c r="O33" s="442">
        <f t="shared" si="3"/>
        <v>0.75</v>
      </c>
      <c r="P33" s="442">
        <f t="shared" si="3"/>
        <v>0.75</v>
      </c>
      <c r="Q33" s="103" t="s">
        <v>404</v>
      </c>
      <c r="R33" s="37" t="s">
        <v>405</v>
      </c>
    </row>
    <row r="34" spans="5:32" x14ac:dyDescent="0.25">
      <c r="E34" s="521" t="s">
        <v>406</v>
      </c>
      <c r="F34" s="521"/>
      <c r="G34" s="102">
        <f>G32/G33*(1-G33)</f>
        <v>2658.5209091820257</v>
      </c>
      <c r="H34" s="102">
        <f t="shared" ref="H34:P34" si="4">H32/H33*(1-H33)</f>
        <v>2821.3271890286651</v>
      </c>
      <c r="I34" s="102">
        <f t="shared" si="4"/>
        <v>2996.0590417616731</v>
      </c>
      <c r="J34" s="102">
        <f t="shared" si="4"/>
        <v>3184.2993325225725</v>
      </c>
      <c r="K34" s="102">
        <f t="shared" si="4"/>
        <v>3387.6964696371219</v>
      </c>
      <c r="L34" s="102">
        <f t="shared" si="4"/>
        <v>3608.0282354449719</v>
      </c>
      <c r="M34" s="102">
        <f t="shared" si="4"/>
        <v>3847.2545850587535</v>
      </c>
      <c r="N34" s="102">
        <f t="shared" si="4"/>
        <v>4107.56454475379</v>
      </c>
      <c r="O34" s="102">
        <f t="shared" si="4"/>
        <v>4391.4208085798628</v>
      </c>
      <c r="P34" s="102">
        <f t="shared" si="4"/>
        <v>4701.6047200297371</v>
      </c>
    </row>
    <row r="35" spans="5:32" x14ac:dyDescent="0.25">
      <c r="E35" s="521" t="s">
        <v>407</v>
      </c>
      <c r="F35" s="521"/>
      <c r="G35" s="102">
        <f>'M4 Household data'!K4</f>
        <v>1510893.6</v>
      </c>
      <c r="H35" s="102">
        <f>'M4 Household data'!J4</f>
        <v>1535067.8976</v>
      </c>
      <c r="I35" s="102">
        <f>'M4 Household data'!I4</f>
        <v>1559628.9839616001</v>
      </c>
      <c r="J35" s="102">
        <f>'M4 Household data'!H4</f>
        <v>1584583.0477049858</v>
      </c>
      <c r="K35" s="102">
        <f>'M4 Household data'!G4</f>
        <v>1609936.3764682657</v>
      </c>
      <c r="L35" s="102">
        <f>'M4 Household data'!F4</f>
        <v>1635695.3584917579</v>
      </c>
      <c r="M35" s="102">
        <f>'M4 Household data'!E4</f>
        <v>1661866.4842276261</v>
      </c>
      <c r="N35" s="102">
        <f>'M4 Household data'!D4</f>
        <v>1688456.3479752683</v>
      </c>
      <c r="O35" s="102">
        <f>'M4 Household data'!C4</f>
        <v>1715471.6495428726</v>
      </c>
      <c r="P35" s="102">
        <f>'M4 Household data'!B4</f>
        <v>1742919.1959355585</v>
      </c>
    </row>
    <row r="36" spans="5:32" ht="30.75" customHeight="1" x14ac:dyDescent="0.25">
      <c r="E36" s="528" t="s">
        <v>408</v>
      </c>
      <c r="F36" s="528"/>
      <c r="G36" s="104">
        <f>($G$34*1000000)/$G$35</f>
        <v>1759.5685819186906</v>
      </c>
      <c r="H36" s="104">
        <f>($H$34*1000000)/$H$35</f>
        <v>1837.9168722371601</v>
      </c>
      <c r="I36" s="104">
        <f>($I$34*1000000)/$I$35</f>
        <v>1921.0075425447719</v>
      </c>
      <c r="J36" s="104">
        <f>($J$34*1000000)/$J$35</f>
        <v>2009.5502959813427</v>
      </c>
      <c r="K36" s="104">
        <f>($K$34*1000000)/$K$35</f>
        <v>2104.2424527786293</v>
      </c>
      <c r="L36" s="104">
        <f>($L$34*1000000)/$L$35</f>
        <v>2205.8069778787312</v>
      </c>
      <c r="M36" s="104">
        <f>($M$34*1000000)/$M$35</f>
        <v>2315.0202628021675</v>
      </c>
      <c r="N36" s="104">
        <f>($N$34*1000000)/$N$35</f>
        <v>2432.7336325155356</v>
      </c>
      <c r="O36" s="104">
        <f>($O$34*1000000)/$O$35</f>
        <v>2559.8912169432001</v>
      </c>
      <c r="P36" s="104">
        <f t="shared" ref="P36" si="5">(P34*1000000)/P35</f>
        <v>2697.546008440182</v>
      </c>
    </row>
    <row r="37" spans="5:32" x14ac:dyDescent="0.25">
      <c r="E37" s="521" t="s">
        <v>409</v>
      </c>
      <c r="F37" s="521"/>
      <c r="G37" s="102">
        <f>'M4 Household data'!F54</f>
        <v>151107.22799999997</v>
      </c>
      <c r="H37" s="102">
        <f>'M4 Household data'!F55</f>
        <v>158209.26771599997</v>
      </c>
      <c r="I37" s="102">
        <f>'M4 Household data'!F56</f>
        <v>165645.10329865196</v>
      </c>
      <c r="J37" s="102">
        <f>'M4 Household data'!F57</f>
        <v>173430.42315368858</v>
      </c>
      <c r="K37" s="102">
        <f>'M4 Household data'!F58</f>
        <v>181581.65304191192</v>
      </c>
      <c r="L37" s="102">
        <f>'M4 Household data'!F59</f>
        <v>190115.99073488178</v>
      </c>
      <c r="M37" s="102">
        <f>'M4 Household data'!F60</f>
        <v>199051.44229942124</v>
      </c>
      <c r="N37" s="102">
        <f>'M4 Household data'!F61</f>
        <v>208406.86008749402</v>
      </c>
      <c r="O37" s="102">
        <f>'M4 Household data'!F62</f>
        <v>218201.98251160624</v>
      </c>
      <c r="P37" s="102">
        <f>'M4 Household data'!F63</f>
        <v>228457.47568965174</v>
      </c>
    </row>
    <row r="38" spans="5:32" x14ac:dyDescent="0.25">
      <c r="E38" s="522" t="s">
        <v>410</v>
      </c>
      <c r="F38" s="522"/>
      <c r="G38" s="106">
        <f t="shared" ref="G38:P38" si="6" xml:space="preserve"> G36 / G37</f>
        <v>1.1644503080413142E-2</v>
      </c>
      <c r="H38" s="106">
        <f t="shared" si="6"/>
        <v>1.1616998793878423E-2</v>
      </c>
      <c r="I38" s="106">
        <f t="shared" si="6"/>
        <v>1.1597128464952368E-2</v>
      </c>
      <c r="J38" s="106">
        <f t="shared" si="6"/>
        <v>1.1587069093411267E-2</v>
      </c>
      <c r="K38" s="106">
        <f t="shared" si="6"/>
        <v>1.1588408947312187E-2</v>
      </c>
      <c r="L38" s="106">
        <f t="shared" si="6"/>
        <v>1.1602427388418612E-2</v>
      </c>
      <c r="M38" s="106">
        <f t="shared" si="6"/>
        <v>1.163026118303539E-2</v>
      </c>
      <c r="N38" s="106">
        <f t="shared" si="6"/>
        <v>1.1673001702027553E-2</v>
      </c>
      <c r="O38" s="106">
        <f t="shared" si="6"/>
        <v>1.1731750497762039E-2</v>
      </c>
      <c r="P38" s="106">
        <f t="shared" si="6"/>
        <v>1.1807650418516686E-2</v>
      </c>
    </row>
    <row r="39" spans="5:32" x14ac:dyDescent="0.25">
      <c r="E39" s="522" t="s">
        <v>411</v>
      </c>
      <c r="F39" s="522"/>
      <c r="G39" s="105" t="s">
        <v>360</v>
      </c>
      <c r="H39" s="105" t="s">
        <v>360</v>
      </c>
      <c r="I39" s="105" t="s">
        <v>360</v>
      </c>
      <c r="J39" s="105" t="s">
        <v>360</v>
      </c>
      <c r="K39" s="105" t="s">
        <v>360</v>
      </c>
      <c r="L39" s="105" t="s">
        <v>360</v>
      </c>
      <c r="M39" s="105" t="s">
        <v>360</v>
      </c>
      <c r="N39" s="105" t="s">
        <v>360</v>
      </c>
      <c r="O39" s="105" t="s">
        <v>360</v>
      </c>
      <c r="P39" s="105" t="s">
        <v>360</v>
      </c>
    </row>
    <row r="42" spans="5:32" x14ac:dyDescent="0.25">
      <c r="G42" s="99"/>
    </row>
    <row r="47" spans="5:32" x14ac:dyDescent="0.25">
      <c r="AB47" s="449"/>
      <c r="AC47" s="449"/>
      <c r="AD47" s="449"/>
      <c r="AE47" s="449"/>
      <c r="AF47" s="449"/>
    </row>
    <row r="48" spans="5:32" x14ac:dyDescent="0.25">
      <c r="AB48" s="450"/>
      <c r="AC48" s="451"/>
      <c r="AD48" s="452"/>
      <c r="AE48" s="452"/>
      <c r="AF48" s="453"/>
    </row>
    <row r="49" spans="28:32" x14ac:dyDescent="0.25">
      <c r="AB49" s="450"/>
      <c r="AC49" s="451"/>
      <c r="AD49" s="452"/>
      <c r="AE49" s="452"/>
      <c r="AF49" s="453"/>
    </row>
    <row r="50" spans="28:32" x14ac:dyDescent="0.25">
      <c r="AB50" s="450"/>
      <c r="AC50" s="451"/>
      <c r="AD50" s="452"/>
      <c r="AE50" s="452"/>
      <c r="AF50" s="453"/>
    </row>
  </sheetData>
  <mergeCells count="20">
    <mergeCell ref="E38:F38"/>
    <mergeCell ref="E39:F39"/>
    <mergeCell ref="E23:F23"/>
    <mergeCell ref="E24:F24"/>
    <mergeCell ref="E25:F25"/>
    <mergeCell ref="E26:F26"/>
    <mergeCell ref="E27:F27"/>
    <mergeCell ref="E32:F32"/>
    <mergeCell ref="E33:F33"/>
    <mergeCell ref="E34:F34"/>
    <mergeCell ref="E35:F35"/>
    <mergeCell ref="E36:F36"/>
    <mergeCell ref="E30:P30"/>
    <mergeCell ref="E31:F31"/>
    <mergeCell ref="G28:L28"/>
    <mergeCell ref="E2:I2"/>
    <mergeCell ref="E22:P22"/>
    <mergeCell ref="A14:B14"/>
    <mergeCell ref="M28:P28"/>
    <mergeCell ref="E37:F37"/>
  </mergeCells>
  <conditionalFormatting sqref="G27:P27">
    <cfRule type="cellIs" dxfId="6" priority="1" operator="equal">
      <formula>0</formula>
    </cfRule>
    <cfRule type="cellIs" dxfId="5" priority="2" operator="greaterThan">
      <formula>0</formula>
    </cfRule>
    <cfRule type="cellIs" dxfId="4" priority="3" operator="lessThan">
      <formula>0</formula>
    </cfRule>
  </conditionalFormatting>
  <dataValidations count="2">
    <dataValidation type="list" allowBlank="1" showInputMessage="1" showErrorMessage="1" sqref="Q33" xr:uid="{5DC1FACE-BFA3-4F17-ACEA-7C92F81FCEBE}">
      <formula1>"Low, Base, High"</formula1>
    </dataValidation>
    <dataValidation allowBlank="1" showInputMessage="1" showErrorMessage="1" sqref="G33:P33" xr:uid="{E16B45EC-FE2E-4C37-A752-8AF122FDEA61}"/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167D-F2A8-4472-BEB5-8C3676E907E4}">
  <dimension ref="A1:P41"/>
  <sheetViews>
    <sheetView workbookViewId="0"/>
  </sheetViews>
  <sheetFormatPr defaultColWidth="9.109375" defaultRowHeight="13.8" x14ac:dyDescent="0.25"/>
  <cols>
    <col min="1" max="1" width="23" style="35" customWidth="1"/>
    <col min="2" max="2" width="19.88671875" style="35" customWidth="1"/>
    <col min="3" max="3" width="15.109375" style="35" customWidth="1"/>
    <col min="4" max="4" width="13.44140625" style="35" customWidth="1"/>
    <col min="5" max="5" width="17.44140625" style="35" customWidth="1"/>
    <col min="6" max="6" width="17.6640625" style="35" customWidth="1"/>
    <col min="7" max="16384" width="9.109375" style="35"/>
  </cols>
  <sheetData>
    <row r="1" spans="1:16" x14ac:dyDescent="0.25">
      <c r="A1" s="39" t="s">
        <v>412</v>
      </c>
      <c r="B1" s="37"/>
      <c r="C1" s="37"/>
      <c r="D1" s="37"/>
      <c r="E1" s="37"/>
      <c r="F1" s="37"/>
      <c r="G1" s="37"/>
      <c r="H1" s="37"/>
      <c r="I1" s="37"/>
      <c r="J1" s="12"/>
      <c r="K1" s="12"/>
      <c r="L1" s="12"/>
      <c r="M1" s="12"/>
      <c r="N1" s="12"/>
      <c r="O1" s="12"/>
      <c r="P1" s="12"/>
    </row>
    <row r="2" spans="1:16" x14ac:dyDescent="0.25">
      <c r="A2" s="37" t="s">
        <v>413</v>
      </c>
      <c r="B2" s="37"/>
      <c r="C2" s="37"/>
      <c r="D2" s="37"/>
      <c r="E2" s="37"/>
      <c r="F2" s="37"/>
      <c r="G2" s="37"/>
      <c r="H2" s="37"/>
      <c r="I2" s="37"/>
      <c r="J2" s="12"/>
      <c r="K2" s="12"/>
      <c r="L2" s="12"/>
      <c r="M2" s="12"/>
      <c r="N2" s="12"/>
      <c r="O2" s="12"/>
      <c r="P2" s="12"/>
    </row>
    <row r="3" spans="1:16" x14ac:dyDescent="0.25">
      <c r="A3" s="40">
        <v>2035</v>
      </c>
      <c r="B3" s="37"/>
      <c r="C3" s="37"/>
      <c r="D3" s="37"/>
      <c r="E3" s="37"/>
      <c r="F3" s="37"/>
      <c r="G3" s="37"/>
      <c r="H3" s="37"/>
      <c r="I3" s="37"/>
      <c r="J3" s="12"/>
      <c r="K3" s="12"/>
      <c r="L3" s="12"/>
      <c r="M3" s="12"/>
      <c r="N3" s="12"/>
      <c r="O3" s="12"/>
      <c r="P3" s="12"/>
    </row>
    <row r="4" spans="1:16" ht="51" customHeight="1" x14ac:dyDescent="0.25">
      <c r="A4" s="38" t="s">
        <v>414</v>
      </c>
      <c r="B4" s="82">
        <f>'M4 Financing Gap and OOP'!P25/0.65</f>
        <v>21699.714092444941</v>
      </c>
      <c r="C4" s="37"/>
      <c r="D4" s="37"/>
      <c r="E4" s="37"/>
      <c r="F4" s="37"/>
      <c r="G4" s="37"/>
      <c r="H4" s="37"/>
      <c r="I4" s="37"/>
      <c r="J4" s="12"/>
      <c r="K4" s="12"/>
      <c r="L4" s="12"/>
      <c r="M4" s="12"/>
      <c r="N4" s="12"/>
      <c r="O4" s="12"/>
      <c r="P4" s="12"/>
    </row>
    <row r="5" spans="1:16" ht="37.5" customHeight="1" x14ac:dyDescent="0.25">
      <c r="A5" s="38" t="s">
        <v>415</v>
      </c>
      <c r="B5" s="82">
        <f>'M4 Financing Gap and OOP'!P24</f>
        <v>13153.339999999851</v>
      </c>
      <c r="C5" s="37"/>
      <c r="D5" s="37"/>
      <c r="E5" s="37"/>
      <c r="F5" s="37"/>
      <c r="G5" s="37"/>
      <c r="H5" s="37"/>
      <c r="I5" s="37"/>
      <c r="J5" s="12"/>
      <c r="K5" s="12"/>
      <c r="L5" s="12"/>
      <c r="M5" s="12"/>
      <c r="N5" s="12"/>
      <c r="O5" s="12"/>
      <c r="P5" s="12"/>
    </row>
    <row r="6" spans="1:16" ht="48" customHeight="1" x14ac:dyDescent="0.25">
      <c r="A6" s="38" t="s">
        <v>416</v>
      </c>
      <c r="B6" s="82">
        <f>'M4 Financing Gap and OOP'!P37</f>
        <v>228457.47568965174</v>
      </c>
      <c r="C6" s="37"/>
      <c r="D6" s="37"/>
      <c r="E6" s="37"/>
      <c r="F6" s="37"/>
      <c r="G6" s="37"/>
      <c r="H6" s="37"/>
      <c r="I6" s="37"/>
      <c r="J6" s="12"/>
      <c r="K6" s="12"/>
      <c r="L6" s="12"/>
      <c r="M6" s="12"/>
      <c r="N6" s="12"/>
      <c r="O6" s="12"/>
      <c r="P6" s="12"/>
    </row>
    <row r="7" spans="1:16" ht="48" customHeight="1" x14ac:dyDescent="0.25">
      <c r="A7" s="38" t="s">
        <v>417</v>
      </c>
      <c r="B7" s="83">
        <f>'M4 Household data'!B4</f>
        <v>1742919.1959355585</v>
      </c>
      <c r="C7" s="37"/>
      <c r="D7" s="37"/>
      <c r="E7" s="37"/>
      <c r="F7" s="37"/>
      <c r="G7" s="37"/>
      <c r="H7" s="37"/>
      <c r="I7" s="37"/>
      <c r="J7" s="12"/>
      <c r="K7" s="12"/>
      <c r="L7" s="12"/>
      <c r="M7" s="12"/>
      <c r="N7" s="12"/>
      <c r="O7" s="12"/>
      <c r="P7" s="12"/>
    </row>
    <row r="8" spans="1:16" ht="51.75" customHeight="1" x14ac:dyDescent="0.25">
      <c r="A8" s="81" t="s">
        <v>418</v>
      </c>
      <c r="B8" s="81" t="s">
        <v>419</v>
      </c>
      <c r="C8" s="81" t="s">
        <v>420</v>
      </c>
      <c r="D8" s="81" t="s">
        <v>421</v>
      </c>
      <c r="E8" s="81" t="s">
        <v>422</v>
      </c>
      <c r="F8" s="81" t="s">
        <v>423</v>
      </c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 x14ac:dyDescent="0.25">
      <c r="A9" s="41">
        <v>0.55000000000000004</v>
      </c>
      <c r="B9" s="42">
        <f>$B$4*A9</f>
        <v>11934.842750844718</v>
      </c>
      <c r="C9" s="42">
        <f>$B$4*(1-A9)</f>
        <v>9764.8713416002229</v>
      </c>
      <c r="D9" s="42">
        <f>B9-$B$5</f>
        <v>-1218.4972491551325</v>
      </c>
      <c r="E9" s="42">
        <f>C9/$B$7*1000000</f>
        <v>5602.5955559911463</v>
      </c>
      <c r="F9" s="43">
        <f>E9/$B$6</f>
        <v>2.452358163845773E-2</v>
      </c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1:16" x14ac:dyDescent="0.25">
      <c r="A10" s="41">
        <v>0.6</v>
      </c>
      <c r="B10" s="42">
        <f>$B$4*A10</f>
        <v>13019.828455466964</v>
      </c>
      <c r="C10" s="42">
        <f>$B$4*(1-A10)</f>
        <v>8679.8856369779769</v>
      </c>
      <c r="D10" s="42">
        <f t="shared" ref="D10:D13" si="0">B10-$B$5</f>
        <v>-133.51154453288655</v>
      </c>
      <c r="E10" s="42">
        <f t="shared" ref="E10:E13" si="1">C10/$B$7*1000000</f>
        <v>4980.0849386587979</v>
      </c>
      <c r="F10" s="43">
        <f t="shared" ref="F10:F13" si="2">E10/$B$6</f>
        <v>2.1798739234184652E-2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 x14ac:dyDescent="0.25">
      <c r="A11" s="41">
        <v>0.65</v>
      </c>
      <c r="B11" s="42">
        <f t="shared" ref="B11:B12" si="3">$B$4*A11</f>
        <v>14104.814160089212</v>
      </c>
      <c r="C11" s="42">
        <f t="shared" ref="C11:C12" si="4">$B$4*(1-A11)</f>
        <v>7594.8999323557291</v>
      </c>
      <c r="D11" s="42">
        <f>B11-$B$5</f>
        <v>951.47416008936125</v>
      </c>
      <c r="E11" s="42">
        <f t="shared" si="1"/>
        <v>4357.5743213264477</v>
      </c>
      <c r="F11" s="43">
        <f t="shared" si="2"/>
        <v>1.907389682991157E-2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 x14ac:dyDescent="0.25">
      <c r="A12" s="41">
        <v>0.7</v>
      </c>
      <c r="B12" s="42">
        <f t="shared" si="3"/>
        <v>15189.799864711458</v>
      </c>
      <c r="C12" s="42">
        <f t="shared" si="4"/>
        <v>6509.9142277334831</v>
      </c>
      <c r="D12" s="42">
        <f t="shared" si="0"/>
        <v>2036.4598647116072</v>
      </c>
      <c r="E12" s="42">
        <f t="shared" si="1"/>
        <v>3735.0637039940984</v>
      </c>
      <c r="F12" s="43">
        <f t="shared" si="2"/>
        <v>1.6349054425638491E-2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16" x14ac:dyDescent="0.25">
      <c r="A13" s="41">
        <v>0.75</v>
      </c>
      <c r="B13" s="42">
        <f>$B$4*A13</f>
        <v>16274.785569333706</v>
      </c>
      <c r="C13" s="42">
        <f>$B$4*(1-A13)</f>
        <v>5424.9285231112353</v>
      </c>
      <c r="D13" s="42">
        <f t="shared" si="0"/>
        <v>3121.445569333855</v>
      </c>
      <c r="E13" s="42">
        <f t="shared" si="1"/>
        <v>3112.5530866617482</v>
      </c>
      <c r="F13" s="43">
        <f t="shared" si="2"/>
        <v>1.3624212021365406E-2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16" x14ac:dyDescent="0.25">
      <c r="A15" s="39" t="s">
        <v>424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</row>
    <row r="16" spans="1:16" x14ac:dyDescent="0.25">
      <c r="A16" s="37" t="s">
        <v>418</v>
      </c>
      <c r="B16" s="37" t="s">
        <v>425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6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  <row r="18" spans="1:16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6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0" spans="1:16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</row>
    <row r="21" spans="1:16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  <row r="22" spans="1:16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spans="1:16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</row>
    <row r="24" spans="1:16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1:16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  <row r="26" spans="1:16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</row>
    <row r="27" spans="1:16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1:16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</row>
    <row r="29" spans="1:16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6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1:16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1:16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1:16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  <row r="35" spans="1:16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1:16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</row>
    <row r="37" spans="1:16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1:16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1:16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spans="1:16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</row>
    <row r="41" spans="1:16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</sheetData>
  <conditionalFormatting sqref="D9:D13">
    <cfRule type="cellIs" dxfId="3" priority="1" operator="greater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15EA-6882-40E3-A584-C238AD400D4C}">
  <dimension ref="A1:O35"/>
  <sheetViews>
    <sheetView workbookViewId="0">
      <selection sqref="A1:L1"/>
    </sheetView>
  </sheetViews>
  <sheetFormatPr defaultColWidth="8.88671875" defaultRowHeight="14.4" x14ac:dyDescent="0.3"/>
  <cols>
    <col min="1" max="1" width="20" customWidth="1"/>
    <col min="2" max="2" width="10.44140625" customWidth="1"/>
    <col min="3" max="3" width="21.44140625" customWidth="1"/>
    <col min="4" max="4" width="17.33203125" customWidth="1"/>
    <col min="5" max="6" width="22.109375" customWidth="1"/>
    <col min="7" max="7" width="17.109375" customWidth="1"/>
    <col min="8" max="8" width="14.109375" customWidth="1"/>
    <col min="13" max="13" width="21.44140625" customWidth="1"/>
    <col min="14" max="14" width="17.33203125" customWidth="1"/>
  </cols>
  <sheetData>
    <row r="1" spans="1:15" ht="18" customHeight="1" x14ac:dyDescent="0.3">
      <c r="A1" s="535" t="s">
        <v>426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19" t="s">
        <v>427</v>
      </c>
      <c r="N1" s="20" t="s">
        <v>358</v>
      </c>
      <c r="O1" t="s">
        <v>428</v>
      </c>
    </row>
    <row r="2" spans="1:15" x14ac:dyDescent="0.3">
      <c r="A2" s="27" t="s">
        <v>429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4" t="s">
        <v>430</v>
      </c>
      <c r="N2" s="15">
        <v>0.8</v>
      </c>
      <c r="O2" t="s">
        <v>431</v>
      </c>
    </row>
    <row r="3" spans="1:15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14" t="s">
        <v>432</v>
      </c>
      <c r="N3" s="15">
        <v>0.5</v>
      </c>
      <c r="O3" t="s">
        <v>433</v>
      </c>
    </row>
    <row r="4" spans="1:15" x14ac:dyDescent="0.3">
      <c r="A4" s="535" t="s">
        <v>434</v>
      </c>
      <c r="B4" s="535"/>
      <c r="C4" s="535"/>
      <c r="D4" s="535"/>
      <c r="E4" s="535"/>
      <c r="F4" s="535"/>
      <c r="G4" s="535"/>
      <c r="H4" s="535"/>
      <c r="I4" s="535"/>
      <c r="J4" s="535"/>
      <c r="K4" s="535"/>
      <c r="L4" s="535"/>
      <c r="M4" s="14" t="s">
        <v>435</v>
      </c>
      <c r="N4" s="15">
        <v>0.8</v>
      </c>
      <c r="O4" t="s">
        <v>436</v>
      </c>
    </row>
    <row r="5" spans="1:15" x14ac:dyDescent="0.3">
      <c r="A5" s="536" t="s">
        <v>437</v>
      </c>
      <c r="B5" s="537"/>
      <c r="C5" s="25" t="s">
        <v>438</v>
      </c>
      <c r="D5" s="27"/>
      <c r="E5" s="455" t="s">
        <v>439</v>
      </c>
      <c r="F5" s="27"/>
      <c r="G5" s="27"/>
      <c r="H5" s="27"/>
      <c r="I5" s="27"/>
      <c r="J5" s="27"/>
      <c r="K5" s="27"/>
      <c r="L5" s="27"/>
      <c r="M5" s="14" t="s">
        <v>440</v>
      </c>
      <c r="N5" s="15">
        <v>0.75</v>
      </c>
      <c r="O5" t="s">
        <v>441</v>
      </c>
    </row>
    <row r="6" spans="1:15" ht="16.5" customHeight="1" x14ac:dyDescent="0.3">
      <c r="A6" s="538" t="s">
        <v>442</v>
      </c>
      <c r="B6" s="539"/>
      <c r="C6" s="25" t="s">
        <v>443</v>
      </c>
      <c r="D6" s="27"/>
      <c r="E6" s="27"/>
      <c r="F6" s="27"/>
      <c r="G6" s="27"/>
      <c r="H6" s="27"/>
      <c r="I6" s="27"/>
      <c r="J6" s="27"/>
      <c r="K6" s="27"/>
      <c r="L6" s="27"/>
      <c r="M6" s="14" t="s">
        <v>444</v>
      </c>
      <c r="N6" s="15">
        <v>0.7</v>
      </c>
      <c r="O6" t="s">
        <v>445</v>
      </c>
    </row>
    <row r="7" spans="1:15" x14ac:dyDescent="0.3">
      <c r="A7" s="540" t="s">
        <v>446</v>
      </c>
      <c r="B7" s="541"/>
      <c r="C7" s="443">
        <f>IF(C5="B2/C Ward",VLOOKUP(C6,$M$2:$N$10,2,FALSE),VLOOKUP(C6,$M$13:$N$22,2,FALSE))</f>
        <v>0.375</v>
      </c>
      <c r="D7" s="27"/>
      <c r="E7" s="27"/>
      <c r="F7" s="27"/>
      <c r="G7" s="27"/>
      <c r="H7" s="27"/>
      <c r="I7" s="27"/>
      <c r="J7" s="27"/>
      <c r="K7" s="27"/>
      <c r="L7" s="27"/>
      <c r="M7" s="14" t="s">
        <v>447</v>
      </c>
      <c r="N7" s="15">
        <v>0.65</v>
      </c>
      <c r="O7" s="1" t="s">
        <v>448</v>
      </c>
    </row>
    <row r="8" spans="1:15" x14ac:dyDescent="0.3">
      <c r="A8" s="27"/>
      <c r="B8" s="27"/>
      <c r="C8" s="26"/>
      <c r="D8" s="27"/>
      <c r="E8" s="27"/>
      <c r="F8" s="27"/>
      <c r="G8" s="27"/>
      <c r="H8" s="27"/>
      <c r="I8" s="27"/>
      <c r="J8" s="27"/>
      <c r="K8" s="27"/>
      <c r="L8" s="27"/>
      <c r="M8" s="14" t="s">
        <v>449</v>
      </c>
      <c r="N8" s="15">
        <v>0.6</v>
      </c>
      <c r="O8" t="s">
        <v>450</v>
      </c>
    </row>
    <row r="9" spans="1:15" x14ac:dyDescent="0.3">
      <c r="A9" s="535" t="s">
        <v>451</v>
      </c>
      <c r="B9" s="535"/>
      <c r="C9" s="535"/>
      <c r="D9" s="535"/>
      <c r="E9" s="535"/>
      <c r="F9" s="535"/>
      <c r="G9" s="535"/>
      <c r="H9" s="535"/>
      <c r="I9" s="535"/>
      <c r="J9" s="535"/>
      <c r="K9" s="535"/>
      <c r="L9" s="535"/>
      <c r="M9" s="14" t="s">
        <v>443</v>
      </c>
      <c r="N9" s="15">
        <v>0.55000000000000004</v>
      </c>
      <c r="O9" t="s">
        <v>452</v>
      </c>
    </row>
    <row r="10" spans="1:15" ht="30" customHeight="1" x14ac:dyDescent="0.3">
      <c r="A10" s="28" t="s">
        <v>453</v>
      </c>
      <c r="B10" s="29">
        <f>(7518.12*1000000)/'M2 BOR &amp; Tradeoff analysis'!K42</f>
        <v>12490.059798538121</v>
      </c>
      <c r="C10" t="s">
        <v>454</v>
      </c>
      <c r="D10" s="27"/>
      <c r="E10" s="27"/>
      <c r="F10" s="27"/>
      <c r="G10" s="27"/>
      <c r="H10" s="27"/>
      <c r="I10" s="27"/>
      <c r="J10" s="27"/>
      <c r="K10" s="27"/>
      <c r="L10" s="27"/>
      <c r="M10" s="14" t="s">
        <v>455</v>
      </c>
      <c r="N10" s="15">
        <v>0.5</v>
      </c>
      <c r="O10" t="s">
        <v>456</v>
      </c>
    </row>
    <row r="11" spans="1:15" ht="28.8" x14ac:dyDescent="0.3">
      <c r="A11" s="30" t="s">
        <v>457</v>
      </c>
      <c r="B11" s="31">
        <f>'M3 Healthcare Costs'!B8</f>
        <v>3.5150771617781906E-2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2"/>
      <c r="N11" s="23"/>
    </row>
    <row r="12" spans="1:15" ht="28.8" x14ac:dyDescent="0.3">
      <c r="A12" s="30" t="s">
        <v>458</v>
      </c>
      <c r="B12" s="31">
        <f>'M4 Household data'!C23</f>
        <v>4.6640274614481614E-2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9" t="s">
        <v>438</v>
      </c>
      <c r="N12" s="20" t="s">
        <v>358</v>
      </c>
    </row>
    <row r="13" spans="1:15" ht="43.2" x14ac:dyDescent="0.3">
      <c r="A13" s="30" t="s">
        <v>459</v>
      </c>
      <c r="B13" s="32">
        <f>'M4 Household data'!E53</f>
        <v>12027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4" t="s">
        <v>430</v>
      </c>
      <c r="N13" s="444">
        <v>0.5</v>
      </c>
    </row>
    <row r="14" spans="1:15" x14ac:dyDescent="0.3">
      <c r="M14" s="14" t="s">
        <v>432</v>
      </c>
      <c r="N14" s="444">
        <v>0.35</v>
      </c>
    </row>
    <row r="15" spans="1:15" x14ac:dyDescent="0.3">
      <c r="A15" s="535" t="s">
        <v>460</v>
      </c>
      <c r="B15" s="535"/>
      <c r="C15" s="535"/>
      <c r="D15" s="535"/>
      <c r="E15" s="535"/>
      <c r="F15" s="535"/>
      <c r="G15" s="535"/>
      <c r="H15" s="535"/>
      <c r="I15" s="535"/>
      <c r="J15" s="535"/>
      <c r="K15" s="535"/>
      <c r="L15" s="535"/>
      <c r="M15" s="14" t="s">
        <v>435</v>
      </c>
      <c r="N15" s="444">
        <v>0.5</v>
      </c>
    </row>
    <row r="16" spans="1:15" ht="29.25" customHeight="1" x14ac:dyDescent="0.3">
      <c r="A16" s="33" t="s">
        <v>182</v>
      </c>
      <c r="B16" s="34" t="s">
        <v>461</v>
      </c>
      <c r="C16" s="34" t="s">
        <v>462</v>
      </c>
      <c r="D16" s="34" t="s">
        <v>463</v>
      </c>
      <c r="E16" s="34" t="s">
        <v>464</v>
      </c>
      <c r="F16" s="34" t="s">
        <v>465</v>
      </c>
      <c r="G16" s="34" t="s">
        <v>466</v>
      </c>
      <c r="H16" s="34" t="s">
        <v>467</v>
      </c>
      <c r="M16" s="14" t="s">
        <v>440</v>
      </c>
      <c r="N16" s="444">
        <v>0.47499999999999998</v>
      </c>
    </row>
    <row r="17" spans="1:14" ht="22.5" customHeight="1" x14ac:dyDescent="0.3">
      <c r="A17" s="14">
        <v>2025</v>
      </c>
      <c r="B17" s="17">
        <f>B10</f>
        <v>12490.059798538121</v>
      </c>
      <c r="C17" s="18">
        <f>$C$7</f>
        <v>0.375</v>
      </c>
      <c r="D17" s="16">
        <f t="shared" ref="D17:D27" si="0">B17*(1-C17)</f>
        <v>7806.2873740863251</v>
      </c>
      <c r="E17" s="24">
        <f>B13</f>
        <v>12027</v>
      </c>
      <c r="F17" s="16">
        <f t="shared" ref="F17:F27" si="1">E17*12</f>
        <v>144324</v>
      </c>
      <c r="G17" s="3">
        <f t="shared" ref="G17:G27" si="2">D17/F17</f>
        <v>5.4088629570177689E-2</v>
      </c>
      <c r="H17" t="str">
        <f t="shared" ref="H17:H27" si="3">IF(G17&gt;0.1,"⚠ HIGH",IF(G17&gt;0.05,"⚠ MODERATE","✓ LOW"))</f>
        <v>⚠ MODERATE</v>
      </c>
      <c r="I17" s="534" t="s">
        <v>468</v>
      </c>
      <c r="J17" s="534"/>
      <c r="K17" s="534"/>
      <c r="L17" s="534"/>
      <c r="M17" s="14" t="s">
        <v>444</v>
      </c>
      <c r="N17" s="444">
        <v>0.45</v>
      </c>
    </row>
    <row r="18" spans="1:14" x14ac:dyDescent="0.3">
      <c r="A18" s="14">
        <v>2026</v>
      </c>
      <c r="B18" s="17">
        <f t="shared" ref="B18:B27" si="4">B17*(1+$B$11)</f>
        <v>12929.095038008974</v>
      </c>
      <c r="C18" s="18">
        <f t="shared" ref="C18:C27" si="5">$C$7</f>
        <v>0.375</v>
      </c>
      <c r="D18" s="16">
        <f t="shared" si="0"/>
        <v>8080.6843987556094</v>
      </c>
      <c r="E18" s="24">
        <f t="shared" ref="E18:E27" si="6">E17*(1+$B$12)</f>
        <v>12587.94258278837</v>
      </c>
      <c r="F18" s="16">
        <f t="shared" si="1"/>
        <v>151055.31099346044</v>
      </c>
      <c r="G18" s="3">
        <f t="shared" si="2"/>
        <v>5.3494871154218748E-2</v>
      </c>
      <c r="H18" t="str">
        <f t="shared" si="3"/>
        <v>⚠ MODERATE</v>
      </c>
      <c r="I18" s="534"/>
      <c r="J18" s="534"/>
      <c r="K18" s="534"/>
      <c r="L18" s="534"/>
      <c r="M18" s="14" t="s">
        <v>447</v>
      </c>
      <c r="N18" s="444">
        <v>0.42499999999999999</v>
      </c>
    </row>
    <row r="19" spans="1:14" x14ac:dyDescent="0.3">
      <c r="A19" s="14">
        <v>2027</v>
      </c>
      <c r="B19" s="17">
        <f t="shared" si="4"/>
        <v>13383.562704914626</v>
      </c>
      <c r="C19" s="18">
        <f t="shared" si="5"/>
        <v>0.375</v>
      </c>
      <c r="D19" s="16">
        <f t="shared" si="0"/>
        <v>8364.7266905716406</v>
      </c>
      <c r="E19" s="24">
        <f t="shared" si="6"/>
        <v>13175.047681680946</v>
      </c>
      <c r="F19" s="16">
        <f t="shared" si="1"/>
        <v>158100.57218017135</v>
      </c>
      <c r="G19" s="3">
        <f t="shared" si="2"/>
        <v>5.2907630726593456E-2</v>
      </c>
      <c r="H19" t="str">
        <f t="shared" si="3"/>
        <v>⚠ MODERATE</v>
      </c>
      <c r="I19" s="534"/>
      <c r="J19" s="534"/>
      <c r="K19" s="534"/>
      <c r="L19" s="534"/>
      <c r="M19" s="14" t="s">
        <v>449</v>
      </c>
      <c r="N19" s="444">
        <v>0.4</v>
      </c>
    </row>
    <row r="20" spans="1:14" x14ac:dyDescent="0.3">
      <c r="A20" s="14">
        <v>2028</v>
      </c>
      <c r="B20" s="17">
        <f t="shared" si="4"/>
        <v>13854.005260987344</v>
      </c>
      <c r="C20" s="18">
        <f t="shared" si="5"/>
        <v>0.375</v>
      </c>
      <c r="D20" s="16">
        <f t="shared" si="0"/>
        <v>8658.7532881170901</v>
      </c>
      <c r="E20" s="24">
        <f t="shared" si="6"/>
        <v>13789.535523613435</v>
      </c>
      <c r="F20" s="16">
        <f t="shared" si="1"/>
        <v>165474.42628336122</v>
      </c>
      <c r="G20" s="3">
        <f t="shared" si="2"/>
        <v>5.2326836736026471E-2</v>
      </c>
      <c r="H20" t="str">
        <f t="shared" si="3"/>
        <v>⚠ MODERATE</v>
      </c>
      <c r="I20" s="534"/>
      <c r="J20" s="534"/>
      <c r="K20" s="534"/>
      <c r="L20" s="534"/>
      <c r="M20" s="14" t="s">
        <v>443</v>
      </c>
      <c r="N20" s="444">
        <v>0.375</v>
      </c>
    </row>
    <row r="21" spans="1:14" x14ac:dyDescent="0.3">
      <c r="A21" s="14">
        <v>2029</v>
      </c>
      <c r="B21" s="17">
        <f t="shared" si="4"/>
        <v>14340.984235907859</v>
      </c>
      <c r="C21" s="18">
        <f t="shared" si="5"/>
        <v>0.375</v>
      </c>
      <c r="D21" s="16">
        <f t="shared" si="0"/>
        <v>8963.1151474424114</v>
      </c>
      <c r="E21" s="24">
        <f t="shared" si="6"/>
        <v>14432.683247240915</v>
      </c>
      <c r="F21" s="16">
        <f t="shared" si="1"/>
        <v>173192.19896689098</v>
      </c>
      <c r="G21" s="3">
        <f t="shared" si="2"/>
        <v>5.1752418416697178E-2</v>
      </c>
      <c r="H21" t="str">
        <f t="shared" si="3"/>
        <v>⚠ MODERATE</v>
      </c>
      <c r="I21" s="534"/>
      <c r="J21" s="534"/>
      <c r="K21" s="534"/>
      <c r="L21" s="534"/>
      <c r="M21" s="14" t="s">
        <v>455</v>
      </c>
      <c r="N21" s="444">
        <v>0.35</v>
      </c>
    </row>
    <row r="22" spans="1:14" x14ac:dyDescent="0.3">
      <c r="A22" s="14">
        <v>2030</v>
      </c>
      <c r="B22" s="17">
        <f t="shared" si="4"/>
        <v>14845.080897558468</v>
      </c>
      <c r="C22" s="18">
        <f t="shared" si="5"/>
        <v>0.375</v>
      </c>
      <c r="D22" s="16">
        <f t="shared" si="0"/>
        <v>9278.175560974043</v>
      </c>
      <c r="E22" s="24">
        <f t="shared" si="6"/>
        <v>15105.827557316059</v>
      </c>
      <c r="F22" s="16">
        <f t="shared" si="1"/>
        <v>181269.93068779272</v>
      </c>
      <c r="G22" s="3">
        <f t="shared" si="2"/>
        <v>5.1184305779617446E-2</v>
      </c>
      <c r="H22" t="str">
        <f t="shared" si="3"/>
        <v>⚠ MODERATE</v>
      </c>
      <c r="I22" s="534"/>
      <c r="J22" s="534"/>
      <c r="K22" s="534"/>
      <c r="L22" s="534"/>
      <c r="M22" s="14"/>
      <c r="N22" s="15"/>
    </row>
    <row r="23" spans="1:14" x14ac:dyDescent="0.3">
      <c r="A23" s="14">
        <v>2031</v>
      </c>
      <c r="B23" s="17">
        <f t="shared" si="4"/>
        <v>15366.896945836043</v>
      </c>
      <c r="C23" s="18">
        <f t="shared" si="5"/>
        <v>0.375</v>
      </c>
      <c r="D23" s="16">
        <f t="shared" si="0"/>
        <v>9604.3105911475268</v>
      </c>
      <c r="E23" s="24">
        <f t="shared" si="6"/>
        <v>15810.367502868285</v>
      </c>
      <c r="F23" s="16">
        <f>E23*12</f>
        <v>189724.41003441942</v>
      </c>
      <c r="G23" s="3">
        <f t="shared" si="2"/>
        <v>5.0622429604103826E-2</v>
      </c>
      <c r="H23" t="str">
        <f t="shared" si="3"/>
        <v>⚠ MODERATE</v>
      </c>
      <c r="I23" s="534"/>
      <c r="J23" s="534"/>
      <c r="K23" s="534"/>
      <c r="L23" s="534"/>
      <c r="M23" s="14"/>
      <c r="N23" s="21"/>
    </row>
    <row r="24" spans="1:14" x14ac:dyDescent="0.3">
      <c r="A24" s="14">
        <v>2032</v>
      </c>
      <c r="B24" s="17">
        <f t="shared" si="4"/>
        <v>15907.055230853115</v>
      </c>
      <c r="C24" s="18">
        <f t="shared" si="5"/>
        <v>0.375</v>
      </c>
      <c r="D24" s="16">
        <f t="shared" si="0"/>
        <v>9941.9095192831974</v>
      </c>
      <c r="E24" s="24">
        <f t="shared" si="6"/>
        <v>16547.767384957937</v>
      </c>
      <c r="F24" s="16">
        <f t="shared" si="1"/>
        <v>198573.20861949524</v>
      </c>
      <c r="G24" s="3">
        <f t="shared" si="2"/>
        <v>5.006672142934359E-2</v>
      </c>
      <c r="H24" t="str">
        <f t="shared" si="3"/>
        <v>⚠ MODERATE</v>
      </c>
      <c r="M24" s="14"/>
      <c r="N24" s="15"/>
    </row>
    <row r="25" spans="1:14" x14ac:dyDescent="0.3">
      <c r="A25" s="14">
        <v>2033</v>
      </c>
      <c r="B25" s="17">
        <f t="shared" si="4"/>
        <v>16466.200496384277</v>
      </c>
      <c r="C25" s="18">
        <f t="shared" si="5"/>
        <v>0.375</v>
      </c>
      <c r="D25" s="16">
        <f t="shared" si="0"/>
        <v>10291.375310240173</v>
      </c>
      <c r="E25" s="24">
        <f t="shared" si="6"/>
        <v>17319.559800048937</v>
      </c>
      <c r="F25" s="16">
        <f t="shared" si="1"/>
        <v>207834.71760058723</v>
      </c>
      <c r="G25" s="3">
        <f t="shared" si="2"/>
        <v>4.9517113546053169E-2</v>
      </c>
      <c r="H25" t="str">
        <f t="shared" si="3"/>
        <v>✓ LOW</v>
      </c>
      <c r="M25" s="14"/>
      <c r="N25" s="14"/>
    </row>
    <row r="26" spans="1:14" x14ac:dyDescent="0.3">
      <c r="A26" s="14">
        <v>2034</v>
      </c>
      <c r="B26" s="17">
        <f t="shared" si="4"/>
        <v>17045.000149445288</v>
      </c>
      <c r="C26" s="18">
        <f t="shared" si="5"/>
        <v>0.375</v>
      </c>
      <c r="D26" s="16">
        <f t="shared" si="0"/>
        <v>10653.125093403305</v>
      </c>
      <c r="E26" s="24">
        <f t="shared" si="6"/>
        <v>18127.348825325156</v>
      </c>
      <c r="F26" s="16">
        <f t="shared" si="1"/>
        <v>217528.18590390187</v>
      </c>
      <c r="G26" s="3">
        <f t="shared" si="2"/>
        <v>4.8973538988228267E-2</v>
      </c>
      <c r="H26" t="str">
        <f t="shared" si="3"/>
        <v>✓ LOW</v>
      </c>
    </row>
    <row r="27" spans="1:14" x14ac:dyDescent="0.3">
      <c r="A27" s="14">
        <v>2035</v>
      </c>
      <c r="B27" s="17">
        <f t="shared" si="4"/>
        <v>17644.145056923498</v>
      </c>
      <c r="C27" s="18">
        <f t="shared" si="5"/>
        <v>0.375</v>
      </c>
      <c r="D27" s="16">
        <f t="shared" si="0"/>
        <v>11027.590660577187</v>
      </c>
      <c r="E27" s="24">
        <f t="shared" si="6"/>
        <v>18972.813352570822</v>
      </c>
      <c r="F27" s="16">
        <f t="shared" si="1"/>
        <v>227673.76023084985</v>
      </c>
      <c r="G27" s="3">
        <f t="shared" si="2"/>
        <v>4.8435931524984523E-2</v>
      </c>
      <c r="H27" t="str">
        <f t="shared" si="3"/>
        <v>✓ LOW</v>
      </c>
    </row>
    <row r="28" spans="1:14" x14ac:dyDescent="0.3">
      <c r="A28" s="14"/>
    </row>
    <row r="33" spans="4:4" x14ac:dyDescent="0.3">
      <c r="D33" s="448"/>
    </row>
    <row r="34" spans="4:4" x14ac:dyDescent="0.3">
      <c r="D34" s="448"/>
    </row>
    <row r="35" spans="4:4" x14ac:dyDescent="0.3">
      <c r="D35" s="448"/>
    </row>
  </sheetData>
  <mergeCells count="8">
    <mergeCell ref="I17:L23"/>
    <mergeCell ref="A15:L15"/>
    <mergeCell ref="A1:L1"/>
    <mergeCell ref="A4:L4"/>
    <mergeCell ref="A5:B5"/>
    <mergeCell ref="A6:B6"/>
    <mergeCell ref="A7:B7"/>
    <mergeCell ref="A9:L9"/>
  </mergeCells>
  <conditionalFormatting sqref="H17:H27">
    <cfRule type="cellIs" dxfId="2" priority="1" operator="equal">
      <formula>"⚠ HIGH"</formula>
    </cfRule>
    <cfRule type="cellIs" dxfId="1" priority="2" operator="equal">
      <formula>"⚠ MODERATE"</formula>
    </cfRule>
    <cfRule type="cellIs" dxfId="0" priority="3" operator="equal">
      <formula>"✓ LOW"</formula>
    </cfRule>
  </conditionalFormatting>
  <dataValidations count="2">
    <dataValidation type="list" allowBlank="1" showInputMessage="1" showErrorMessage="1" sqref="C5" xr:uid="{2E2627ED-B44C-46BE-AF58-383F98A92F6C}">
      <formula1>"B2/C Ward, B2+ Ward"</formula1>
    </dataValidation>
    <dataValidation type="list" allowBlank="1" showInputMessage="1" showErrorMessage="1" sqref="C6" xr:uid="{33755194-379B-487A-B4B5-36B3EBDB26C0}">
      <formula1>"No PCHI (AV ≤ $21000), No PCHI (AV &gt; $21000), $0 &lt; PCHI ≤ $2100, $2100 &lt; PCHI ≤ $2300, $2300 &lt; PCHI ≤ $2600, $2600 &lt; PCHI ≤ $3000, $3000 &lt; PCHI ≤ $3300, $3300 &lt; PCHI ≤ $3600, PCHI &gt; $3600"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7773-CA18-9B4D-AD8F-F63FC43ADD13}">
  <dimension ref="A1:D17"/>
  <sheetViews>
    <sheetView workbookViewId="0"/>
  </sheetViews>
  <sheetFormatPr defaultColWidth="10.88671875" defaultRowHeight="14.4" x14ac:dyDescent="0.3"/>
  <cols>
    <col min="1" max="1" width="42.109375" style="6" customWidth="1"/>
    <col min="2" max="2" width="41.6640625" style="6" customWidth="1"/>
    <col min="3" max="3" width="106.109375" customWidth="1"/>
    <col min="4" max="4" width="51.33203125" customWidth="1"/>
  </cols>
  <sheetData>
    <row r="1" spans="1:4" x14ac:dyDescent="0.3">
      <c r="A1" s="4" t="s">
        <v>469</v>
      </c>
      <c r="B1" s="4" t="s">
        <v>470</v>
      </c>
      <c r="C1" s="5" t="s">
        <v>471</v>
      </c>
      <c r="D1" s="5"/>
    </row>
    <row r="2" spans="1:4" x14ac:dyDescent="0.3">
      <c r="A2" s="542" t="s">
        <v>472</v>
      </c>
      <c r="B2" s="542"/>
      <c r="C2" s="542"/>
      <c r="D2" s="2"/>
    </row>
    <row r="3" spans="1:4" ht="57.6" x14ac:dyDescent="0.3">
      <c r="A3" s="6" t="s">
        <v>473</v>
      </c>
      <c r="B3" s="6" t="s">
        <v>474</v>
      </c>
      <c r="C3" s="7" t="s">
        <v>475</v>
      </c>
    </row>
    <row r="4" spans="1:4" x14ac:dyDescent="0.3">
      <c r="A4" s="542" t="s">
        <v>476</v>
      </c>
      <c r="B4" s="542"/>
      <c r="C4" s="542"/>
      <c r="D4" s="2"/>
    </row>
    <row r="5" spans="1:4" ht="28.8" x14ac:dyDescent="0.3">
      <c r="A5" s="403" t="s">
        <v>477</v>
      </c>
      <c r="B5" s="6" t="s">
        <v>478</v>
      </c>
      <c r="C5" s="7" t="s">
        <v>479</v>
      </c>
    </row>
    <row r="6" spans="1:4" ht="28.8" x14ac:dyDescent="0.3">
      <c r="A6" s="403" t="s">
        <v>189</v>
      </c>
      <c r="B6" s="6" t="s">
        <v>480</v>
      </c>
      <c r="C6" s="7" t="s">
        <v>481</v>
      </c>
    </row>
    <row r="7" spans="1:4" x14ac:dyDescent="0.3">
      <c r="A7" s="403" t="s">
        <v>145</v>
      </c>
      <c r="B7" s="6" t="s">
        <v>482</v>
      </c>
      <c r="C7" s="7" t="s">
        <v>483</v>
      </c>
    </row>
    <row r="8" spans="1:4" x14ac:dyDescent="0.3">
      <c r="A8" s="403" t="s">
        <v>192</v>
      </c>
      <c r="B8" s="6" t="s">
        <v>484</v>
      </c>
      <c r="C8" s="7" t="s">
        <v>485</v>
      </c>
    </row>
    <row r="9" spans="1:4" x14ac:dyDescent="0.3">
      <c r="A9" s="403" t="s">
        <v>486</v>
      </c>
      <c r="B9" s="6" t="s">
        <v>487</v>
      </c>
      <c r="C9" s="7" t="s">
        <v>488</v>
      </c>
    </row>
    <row r="10" spans="1:4" x14ac:dyDescent="0.3">
      <c r="A10" s="542" t="s">
        <v>489</v>
      </c>
      <c r="B10" s="542"/>
      <c r="C10" s="542"/>
      <c r="D10" s="2"/>
    </row>
    <row r="11" spans="1:4" x14ac:dyDescent="0.3">
      <c r="A11" s="6" t="s">
        <v>490</v>
      </c>
      <c r="B11" s="6" t="s">
        <v>491</v>
      </c>
      <c r="C11" s="11" t="s">
        <v>492</v>
      </c>
    </row>
    <row r="12" spans="1:4" x14ac:dyDescent="0.3">
      <c r="A12" s="6" t="s">
        <v>493</v>
      </c>
      <c r="B12" s="6" t="s">
        <v>494</v>
      </c>
      <c r="C12" s="11" t="s">
        <v>495</v>
      </c>
    </row>
    <row r="13" spans="1:4" s="9" customFormat="1" x14ac:dyDescent="0.3">
      <c r="A13" s="10" t="s">
        <v>496</v>
      </c>
      <c r="B13" s="8"/>
    </row>
    <row r="14" spans="1:4" x14ac:dyDescent="0.3">
      <c r="A14" s="6" t="s">
        <v>497</v>
      </c>
      <c r="B14" s="6" t="s">
        <v>498</v>
      </c>
      <c r="C14" s="11" t="s">
        <v>499</v>
      </c>
    </row>
    <row r="15" spans="1:4" x14ac:dyDescent="0.3">
      <c r="A15" s="6" t="s">
        <v>500</v>
      </c>
      <c r="B15" s="6" t="s">
        <v>501</v>
      </c>
      <c r="C15" s="11" t="s">
        <v>502</v>
      </c>
    </row>
    <row r="16" spans="1:4" x14ac:dyDescent="0.3">
      <c r="A16" s="6" t="s">
        <v>503</v>
      </c>
      <c r="B16" s="6" t="s">
        <v>504</v>
      </c>
      <c r="C16" s="11" t="s">
        <v>505</v>
      </c>
    </row>
    <row r="17" spans="1:3" ht="28.8" x14ac:dyDescent="0.3">
      <c r="A17" s="6" t="s">
        <v>353</v>
      </c>
      <c r="B17" s="6" t="s">
        <v>506</v>
      </c>
      <c r="C17" s="11" t="s">
        <v>507</v>
      </c>
    </row>
  </sheetData>
  <mergeCells count="3">
    <mergeCell ref="A2:C2"/>
    <mergeCell ref="A4:C4"/>
    <mergeCell ref="A10:C10"/>
  </mergeCells>
  <hyperlinks>
    <hyperlink ref="C5" r:id="rId1" xr:uid="{70864D45-B24B-114E-BF1B-199071E2C585}"/>
    <hyperlink ref="C3" r:id="rId2" xr:uid="{3403629C-8C0B-8945-8BB5-589FB051B6E7}"/>
    <hyperlink ref="C6" r:id="rId3" xr:uid="{9666AE04-FA48-494E-BDDA-43ADE6B79890}"/>
    <hyperlink ref="C8" r:id="rId4" xr:uid="{28D94D88-C202-F547-9C24-E9A91D9B654B}"/>
    <hyperlink ref="C9" r:id="rId5" xr:uid="{8E5B77D4-CBC7-E44A-9E72-C0B2D2623529}"/>
    <hyperlink ref="C7" r:id="rId6" xr:uid="{FE7E1A0E-56A0-B741-B8F6-BEFD0CE38312}"/>
    <hyperlink ref="C14" r:id="rId7" xr:uid="{BFBA135E-BD78-4B22-8E8D-F005CC01310A}"/>
    <hyperlink ref="C16" r:id="rId8" xr:uid="{F3AC5638-E8AE-4FEC-9863-C8A69E8D9FDA}"/>
    <hyperlink ref="C17" r:id="rId9" xr:uid="{9E79253D-E4EF-4D4F-81EE-B09D90C0A335}"/>
    <hyperlink ref="C15" r:id="rId10" xr:uid="{23FD5F82-528D-4277-A73F-0E3182C018FA}"/>
    <hyperlink ref="C11" r:id="rId11" xr:uid="{49D0A571-59D3-48C2-A524-5D08A5830B20}"/>
    <hyperlink ref="C12" r:id="rId12" xr:uid="{06E0EF49-72D7-458E-885B-6023EB9E8D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5</vt:i4>
      </vt:variant>
    </vt:vector>
  </HeadingPairs>
  <TitlesOfParts>
    <vt:vector size="22" baseType="lpstr">
      <vt:lpstr>Overview</vt:lpstr>
      <vt:lpstr>Influence Diagram</vt:lpstr>
      <vt:lpstr>Blackbox</vt:lpstr>
      <vt:lpstr>M1 Population</vt:lpstr>
      <vt:lpstr>M1 Demand Driver</vt:lpstr>
      <vt:lpstr>M2 HAR</vt:lpstr>
      <vt:lpstr>M2 Beds</vt:lpstr>
      <vt:lpstr>M2 BOR &amp; Tradeoff analysis</vt:lpstr>
      <vt:lpstr>M2 Sensitivity Analysis</vt:lpstr>
      <vt:lpstr>M3 Healthcare Budget</vt:lpstr>
      <vt:lpstr>M3 Healthcare Costs</vt:lpstr>
      <vt:lpstr>M3 Sensitivity Analysis</vt:lpstr>
      <vt:lpstr>M4 Household data</vt:lpstr>
      <vt:lpstr>M4 Financing Gap and OOP</vt:lpstr>
      <vt:lpstr>M4 Trade-off Analysis</vt:lpstr>
      <vt:lpstr>M4 Ward OOP Calculator </vt:lpstr>
      <vt:lpstr>Data</vt:lpstr>
      <vt:lpstr>ALOS_Factor_Options</vt:lpstr>
      <vt:lpstr>Average_ALOS_Options</vt:lpstr>
      <vt:lpstr>Bed_Expansion_Rate_Options</vt:lpstr>
      <vt:lpstr>Elderly_Population_Growth_Adjust_Options</vt:lpstr>
      <vt:lpstr>Govt_Policy_Factor_Options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Serene CHENG</cp:lastModifiedBy>
  <cp:revision/>
  <dcterms:created xsi:type="dcterms:W3CDTF">2026-03-13T04:35:22Z</dcterms:created>
  <dcterms:modified xsi:type="dcterms:W3CDTF">2026-03-26T15:50:32Z</dcterms:modified>
  <cp:category/>
  <cp:contentStatus/>
</cp:coreProperties>
</file>